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nual Test Matrix" sheetId="2" state="visible" r:id="rId2"/>
  </sheets>
  <definedNames>
    <definedName name="_xlnm._FilterDatabase" localSheetId="1" hidden="1">'Manual Test Matrix'!$A$1:$J$119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F5C5B"/>
      <sz val="18"/>
    </font>
    <font>
      <name val="Calibri"/>
      <i val="1"/>
      <color rgb="009A783A"/>
      <sz val="11"/>
    </font>
    <font>
      <name val="Calibri"/>
      <b val="1"/>
      <color rgb="000F5C5B"/>
      <sz val="12"/>
    </font>
    <font>
      <name val="Calibri"/>
      <color rgb="00173333"/>
      <sz val="10"/>
    </font>
    <font>
      <name val="Calibri"/>
      <b val="1"/>
      <color rgb="00FFFFFF"/>
      <sz val="10"/>
    </font>
    <font>
      <name val="Calibri"/>
      <b val="1"/>
      <color rgb="00173333"/>
      <sz val="10"/>
    </font>
  </fonts>
  <fills count="5">
    <fill>
      <patternFill/>
    </fill>
    <fill>
      <patternFill patternType="gray125"/>
    </fill>
    <fill>
      <patternFill patternType="solid">
        <fgColor rgb="000F5C5B"/>
        <bgColor rgb="000F5C5B"/>
      </patternFill>
    </fill>
    <fill>
      <patternFill patternType="solid">
        <fgColor rgb="00F2FAF8"/>
        <bgColor rgb="00F2FAF8"/>
      </patternFill>
    </fill>
    <fill>
      <patternFill patternType="solid">
        <fgColor rgb="00DCE5E3"/>
        <bgColor rgb="00DCE5E3"/>
      </patternFill>
    </fill>
  </fills>
  <borders count="2">
    <border>
      <left/>
      <right/>
      <top/>
      <bottom/>
      <diagonal/>
    </border>
    <border>
      <left style="thin">
        <color rgb="00DCE5E3"/>
      </left>
      <right style="thin">
        <color rgb="00DCE5E3"/>
      </right>
      <top style="thin">
        <color rgb="00DCE5E3"/>
      </top>
      <bottom style="thin">
        <color rgb="00DCE5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ont>
        <name val="Calibri"/>
        <b val="1"/>
        <color rgb="000E6229"/>
        <sz val="10"/>
      </font>
      <fill>
        <patternFill patternType="solid">
          <fgColor rgb="00D1F2D9"/>
          <bgColor rgb="00D1F2D9"/>
        </patternFill>
      </fill>
    </dxf>
    <dxf>
      <font>
        <name val="Calibri"/>
        <b val="1"/>
        <color rgb="00A51D24"/>
        <sz val="10"/>
      </font>
      <fill>
        <patternFill patternType="solid">
          <fgColor rgb="00FCE8E6"/>
          <bgColor rgb="00FCE8E6"/>
        </patternFill>
      </fill>
    </dxf>
    <dxf>
      <font>
        <name val="Calibri"/>
        <b val="1"/>
        <color rgb="008C6A23"/>
        <sz val="10"/>
      </font>
      <fill>
        <patternFill patternType="solid">
          <fgColor rgb="00FEF3D6"/>
          <bgColor rgb="00FEF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SREE BALAJI GOLD (SBG) COMMERCIAL SUITE</t>
        </is>
      </c>
    </row>
    <row r="2">
      <c r="A2" s="2" t="inlineStr">
        <is>
          <t>Manual Verification Matrix &amp; Quality Assurance Plan • Version 2.0</t>
        </is>
      </c>
    </row>
    <row r="4">
      <c r="A4" s="3" t="inlineStr">
        <is>
          <t>TEST EXECUTION GUIDELINES</t>
        </is>
      </c>
    </row>
    <row r="5">
      <c r="A5" s="4" t="inlineStr">
        <is>
          <t>1. This workbook contains the definitive manual testing checklist for the current SBG application.</t>
        </is>
      </c>
    </row>
    <row r="6">
      <c r="A6" s="4" t="inlineStr">
        <is>
          <t>2. Switch to the 'Manual Test Matrix' tab to execute step-by-step test cases across all 18 functional modules.</t>
        </is>
      </c>
    </row>
    <row r="7">
      <c r="A7" s="4" t="inlineStr">
        <is>
          <t>3. Select Status ('PASS', 'FAIL', or 'PENDING') from the dropdown list in Column I.</t>
        </is>
      </c>
    </row>
    <row r="8">
      <c r="A8" s="4" t="inlineStr">
        <is>
          <t>4. Conditional formatting automatically highlights PASSED cases in green and FAILED cases in red.</t>
        </is>
      </c>
    </row>
    <row r="9">
      <c r="A9" s="4" t="inlineStr">
        <is>
          <t>5. Record any behavioral deviations or bugs in Column J ('Tester Notes / Observation').</t>
        </is>
      </c>
    </row>
    <row r="11">
      <c r="A11" s="3" t="inlineStr">
        <is>
          <t>TEST MODULE SUMMARY &amp; COVERAGE</t>
        </is>
      </c>
    </row>
    <row r="13">
      <c r="A13" s="5" t="inlineStr">
        <is>
          <t>Module ID</t>
        </is>
      </c>
      <c r="B13" s="5" t="inlineStr">
        <is>
          <t>Module Name</t>
        </is>
      </c>
      <c r="C13" s="5" t="inlineStr">
        <is>
          <t>Total Cases</t>
        </is>
      </c>
      <c r="D13" s="5" t="inlineStr">
        <is>
          <t>Passed</t>
        </is>
      </c>
      <c r="E13" s="5" t="inlineStr">
        <is>
          <t>Failed</t>
        </is>
      </c>
      <c r="F13" s="5" t="inlineStr">
        <is>
          <t>Pending</t>
        </is>
      </c>
      <c r="G13" s="5" t="inlineStr">
        <is>
          <t>% Passed</t>
        </is>
      </c>
    </row>
    <row r="14">
      <c r="A14" s="6" t="inlineStr">
        <is>
          <t>MOD-01</t>
        </is>
      </c>
      <c r="B14" s="7" t="inlineStr">
        <is>
          <t>Authentication &amp; Session Management</t>
        </is>
      </c>
      <c r="C14" s="6" t="n">
        <v>6</v>
      </c>
      <c r="D14" s="6">
        <f>COUNTIFS('Manual Test Matrix'!$B:$B, "MOD-01", 'Manual Test Matrix'!$I:$I, "PASS")</f>
        <v/>
      </c>
      <c r="E14" s="6">
        <f>COUNTIFS('Manual Test Matrix'!$B:$B, "MOD-01", 'Manual Test Matrix'!$I:$I, "FAIL")</f>
        <v/>
      </c>
      <c r="F14" s="6">
        <f>COUNTIFS('Manual Test Matrix'!$B:$B, "MOD-01", 'Manual Test Matrix'!$I:$I, "PENDING")</f>
        <v/>
      </c>
      <c r="G14" s="8">
        <f>IF(C14&gt;0, D14/C14, 0)</f>
        <v/>
      </c>
    </row>
    <row r="15">
      <c r="A15" s="9" t="inlineStr">
        <is>
          <t>MOD-02</t>
        </is>
      </c>
      <c r="B15" s="10" t="inlineStr">
        <is>
          <t>Header, Navigation &amp; Live Gold Rate Engine</t>
        </is>
      </c>
      <c r="C15" s="9" t="n">
        <v>7</v>
      </c>
      <c r="D15" s="9">
        <f>COUNTIFS('Manual Test Matrix'!$B:$B, "MOD-02", 'Manual Test Matrix'!$I:$I, "PASS")</f>
        <v/>
      </c>
      <c r="E15" s="9">
        <f>COUNTIFS('Manual Test Matrix'!$B:$B, "MOD-02", 'Manual Test Matrix'!$I:$I, "FAIL")</f>
        <v/>
      </c>
      <c r="F15" s="9">
        <f>COUNTIFS('Manual Test Matrix'!$B:$B, "MOD-02", 'Manual Test Matrix'!$I:$I, "PENDING")</f>
        <v/>
      </c>
      <c r="G15" s="11">
        <f>IF(C15&gt;0, D15/C15, 0)</f>
        <v/>
      </c>
    </row>
    <row r="16">
      <c r="A16" s="6" t="inlineStr">
        <is>
          <t>MOD-03</t>
        </is>
      </c>
      <c r="B16" s="7" t="inlineStr">
        <is>
          <t>Commercial Dashboard &amp; KPI Metrics</t>
        </is>
      </c>
      <c r="C16" s="6" t="n">
        <v>6</v>
      </c>
      <c r="D16" s="6">
        <f>COUNTIFS('Manual Test Matrix'!$B:$B, "MOD-03", 'Manual Test Matrix'!$I:$I, "PASS")</f>
        <v/>
      </c>
      <c r="E16" s="6">
        <f>COUNTIFS('Manual Test Matrix'!$B:$B, "MOD-03", 'Manual Test Matrix'!$I:$I, "FAIL")</f>
        <v/>
      </c>
      <c r="F16" s="6">
        <f>COUNTIFS('Manual Test Matrix'!$B:$B, "MOD-03", 'Manual Test Matrix'!$I:$I, "PENDING")</f>
        <v/>
      </c>
      <c r="G16" s="8">
        <f>IF(C16&gt;0, D16/C16, 0)</f>
        <v/>
      </c>
    </row>
    <row r="17">
      <c r="A17" s="9" t="inlineStr">
        <is>
          <t>MOD-04</t>
        </is>
      </c>
      <c r="B17" s="10" t="inlineStr">
        <is>
          <t>Customer KYC Directory &amp; Master Data</t>
        </is>
      </c>
      <c r="C17" s="9" t="n">
        <v>7</v>
      </c>
      <c r="D17" s="9">
        <f>COUNTIFS('Manual Test Matrix'!$B:$B, "MOD-04", 'Manual Test Matrix'!$I:$I, "PASS")</f>
        <v/>
      </c>
      <c r="E17" s="9">
        <f>COUNTIFS('Manual Test Matrix'!$B:$B, "MOD-04", 'Manual Test Matrix'!$I:$I, "FAIL")</f>
        <v/>
      </c>
      <c r="F17" s="9">
        <f>COUNTIFS('Manual Test Matrix'!$B:$B, "MOD-04", 'Manual Test Matrix'!$I:$I, "PENDING")</f>
        <v/>
      </c>
      <c r="G17" s="11">
        <f>IF(C17&gt;0, D17/C17, 0)</f>
        <v/>
      </c>
    </row>
    <row r="18">
      <c r="A18" s="6" t="inlineStr">
        <is>
          <t>MOD-05</t>
        </is>
      </c>
      <c r="B18" s="7" t="inlineStr">
        <is>
          <t>Customer Profile, Dual-Ledger &amp; Sheet Import</t>
        </is>
      </c>
      <c r="C18" s="6" t="n">
        <v>8</v>
      </c>
      <c r="D18" s="6">
        <f>COUNTIFS('Manual Test Matrix'!$B:$B, "MOD-05", 'Manual Test Matrix'!$I:$I, "PASS")</f>
        <v/>
      </c>
      <c r="E18" s="6">
        <f>COUNTIFS('Manual Test Matrix'!$B:$B, "MOD-05", 'Manual Test Matrix'!$I:$I, "FAIL")</f>
        <v/>
      </c>
      <c r="F18" s="6">
        <f>COUNTIFS('Manual Test Matrix'!$B:$B, "MOD-05", 'Manual Test Matrix'!$I:$I, "PENDING")</f>
        <v/>
      </c>
      <c r="G18" s="8">
        <f>IF(C18&gt;0, D18/C18, 0)</f>
        <v/>
      </c>
    </row>
    <row r="19">
      <c r="A19" s="9" t="inlineStr">
        <is>
          <t>MOD-06</t>
        </is>
      </c>
      <c r="B19" s="10" t="inlineStr">
        <is>
          <t>Commercial Orders &amp; Production Tracking</t>
        </is>
      </c>
      <c r="C19" s="9" t="n">
        <v>6</v>
      </c>
      <c r="D19" s="9">
        <f>COUNTIFS('Manual Test Matrix'!$B:$B, "MOD-06", 'Manual Test Matrix'!$I:$I, "PASS")</f>
        <v/>
      </c>
      <c r="E19" s="9">
        <f>COUNTIFS('Manual Test Matrix'!$B:$B, "MOD-06", 'Manual Test Matrix'!$I:$I, "FAIL")</f>
        <v/>
      </c>
      <c r="F19" s="9">
        <f>COUNTIFS('Manual Test Matrix'!$B:$B, "MOD-06", 'Manual Test Matrix'!$I:$I, "PENDING")</f>
        <v/>
      </c>
      <c r="G19" s="11">
        <f>IF(C19&gt;0, D19/C19, 0)</f>
        <v/>
      </c>
    </row>
    <row r="20">
      <c r="A20" s="6" t="inlineStr">
        <is>
          <t>MOD-07</t>
        </is>
      </c>
      <c r="B20" s="7" t="inlineStr">
        <is>
          <t>Dual-Ledger Transaction Management</t>
        </is>
      </c>
      <c r="C20" s="6" t="n">
        <v>7</v>
      </c>
      <c r="D20" s="6">
        <f>COUNTIFS('Manual Test Matrix'!$B:$B, "MOD-07", 'Manual Test Matrix'!$I:$I, "PASS")</f>
        <v/>
      </c>
      <c r="E20" s="6">
        <f>COUNTIFS('Manual Test Matrix'!$B:$B, "MOD-07", 'Manual Test Matrix'!$I:$I, "FAIL")</f>
        <v/>
      </c>
      <c r="F20" s="6">
        <f>COUNTIFS('Manual Test Matrix'!$B:$B, "MOD-07", 'Manual Test Matrix'!$I:$I, "PENDING")</f>
        <v/>
      </c>
      <c r="G20" s="8">
        <f>IF(C20&gt;0, D20/C20, 0)</f>
        <v/>
      </c>
    </row>
    <row r="21">
      <c r="A21" s="9" t="inlineStr">
        <is>
          <t>MOD-08</t>
        </is>
      </c>
      <c r="B21" s="10" t="inlineStr">
        <is>
          <t>Quick Payment &amp; Receipt Voucher Modal</t>
        </is>
      </c>
      <c r="C21" s="9" t="n">
        <v>6</v>
      </c>
      <c r="D21" s="9">
        <f>COUNTIFS('Manual Test Matrix'!$B:$B, "MOD-08", 'Manual Test Matrix'!$I:$I, "PASS")</f>
        <v/>
      </c>
      <c r="E21" s="9">
        <f>COUNTIFS('Manual Test Matrix'!$B:$B, "MOD-08", 'Manual Test Matrix'!$I:$I, "FAIL")</f>
        <v/>
      </c>
      <c r="F21" s="9">
        <f>COUNTIFS('Manual Test Matrix'!$B:$B, "MOD-08", 'Manual Test Matrix'!$I:$I, "PENDING")</f>
        <v/>
      </c>
      <c r="G21" s="11">
        <f>IF(C21&gt;0, D21/C21, 0)</f>
        <v/>
      </c>
    </row>
    <row r="22">
      <c r="A22" s="6" t="inlineStr">
        <is>
          <t>MOD-09</t>
        </is>
      </c>
      <c r="B22" s="7" t="inlineStr">
        <is>
          <t>Estimate Cost Sheet Calculation Engine</t>
        </is>
      </c>
      <c r="C22" s="6" t="n">
        <v>8</v>
      </c>
      <c r="D22" s="6">
        <f>COUNTIFS('Manual Test Matrix'!$B:$B, "MOD-09", 'Manual Test Matrix'!$I:$I, "PASS")</f>
        <v/>
      </c>
      <c r="E22" s="6">
        <f>COUNTIFS('Manual Test Matrix'!$B:$B, "MOD-09", 'Manual Test Matrix'!$I:$I, "FAIL")</f>
        <v/>
      </c>
      <c r="F22" s="6">
        <f>COUNTIFS('Manual Test Matrix'!$B:$B, "MOD-09", 'Manual Test Matrix'!$I:$I, "PENDING")</f>
        <v/>
      </c>
      <c r="G22" s="8">
        <f>IF(C22&gt;0, D22/C22, 0)</f>
        <v/>
      </c>
    </row>
    <row r="23">
      <c r="A23" s="9" t="inlineStr">
        <is>
          <t>MOD-10</t>
        </is>
      </c>
      <c r="B23" s="10" t="inlineStr">
        <is>
          <t>Estimate Settlement Presets Engine</t>
        </is>
      </c>
      <c r="C23" s="9" t="n">
        <v>7</v>
      </c>
      <c r="D23" s="9">
        <f>COUNTIFS('Manual Test Matrix'!$B:$B, "MOD-10", 'Manual Test Matrix'!$I:$I, "PASS")</f>
        <v/>
      </c>
      <c r="E23" s="9">
        <f>COUNTIFS('Manual Test Matrix'!$B:$B, "MOD-10", 'Manual Test Matrix'!$I:$I, "FAIL")</f>
        <v/>
      </c>
      <c r="F23" s="9">
        <f>COUNTIFS('Manual Test Matrix'!$B:$B, "MOD-10", 'Manual Test Matrix'!$I:$I, "PENDING")</f>
        <v/>
      </c>
      <c r="G23" s="11">
        <f>IF(C23&gt;0, D23/C23, 0)</f>
        <v/>
      </c>
    </row>
    <row r="24">
      <c r="A24" s="6" t="inlineStr">
        <is>
          <t>MOD-11</t>
        </is>
      </c>
      <c r="B24" s="7" t="inlineStr">
        <is>
          <t>Estimate Lifecycle &amp; Atomic Financial Postings</t>
        </is>
      </c>
      <c r="C24" s="6" t="n">
        <v>6</v>
      </c>
      <c r="D24" s="6">
        <f>COUNTIFS('Manual Test Matrix'!$B:$B, "MOD-11", 'Manual Test Matrix'!$I:$I, "PASS")</f>
        <v/>
      </c>
      <c r="E24" s="6">
        <f>COUNTIFS('Manual Test Matrix'!$B:$B, "MOD-11", 'Manual Test Matrix'!$I:$I, "FAIL")</f>
        <v/>
      </c>
      <c r="F24" s="6">
        <f>COUNTIFS('Manual Test Matrix'!$B:$B, "MOD-11", 'Manual Test Matrix'!$I:$I, "PENDING")</f>
        <v/>
      </c>
      <c r="G24" s="8">
        <f>IF(C24&gt;0, D24/C24, 0)</f>
        <v/>
      </c>
    </row>
    <row r="25">
      <c r="A25" s="9" t="inlineStr">
        <is>
          <t>MOD-12</t>
        </is>
      </c>
      <c r="B25" s="10" t="inlineStr">
        <is>
          <t>Estimate Invoice Details &amp; Print Output</t>
        </is>
      </c>
      <c r="C25" s="9" t="n">
        <v>8</v>
      </c>
      <c r="D25" s="9">
        <f>COUNTIFS('Manual Test Matrix'!$B:$B, "MOD-12", 'Manual Test Matrix'!$I:$I, "PASS")</f>
        <v/>
      </c>
      <c r="E25" s="9">
        <f>COUNTIFS('Manual Test Matrix'!$B:$B, "MOD-12", 'Manual Test Matrix'!$I:$I, "FAIL")</f>
        <v/>
      </c>
      <c r="F25" s="9">
        <f>COUNTIFS('Manual Test Matrix'!$B:$B, "MOD-12", 'Manual Test Matrix'!$I:$I, "PENDING")</f>
        <v/>
      </c>
      <c r="G25" s="11">
        <f>IF(C25&gt;0, D25/C25, 0)</f>
        <v/>
      </c>
    </row>
    <row r="26">
      <c r="A26" s="6" t="inlineStr">
        <is>
          <t>MOD-13</t>
        </is>
      </c>
      <c r="B26" s="7" t="inlineStr">
        <is>
          <t>Gold &amp; Cash Spot Rate Settlements</t>
        </is>
      </c>
      <c r="C26" s="6" t="n">
        <v>6</v>
      </c>
      <c r="D26" s="6">
        <f>COUNTIFS('Manual Test Matrix'!$B:$B, "MOD-13", 'Manual Test Matrix'!$I:$I, "PASS")</f>
        <v/>
      </c>
      <c r="E26" s="6">
        <f>COUNTIFS('Manual Test Matrix'!$B:$B, "MOD-13", 'Manual Test Matrix'!$I:$I, "FAIL")</f>
        <v/>
      </c>
      <c r="F26" s="6">
        <f>COUNTIFS('Manual Test Matrix'!$B:$B, "MOD-13", 'Manual Test Matrix'!$I:$I, "PENDING")</f>
        <v/>
      </c>
      <c r="G26" s="8">
        <f>IF(C26&gt;0, D26/C26, 0)</f>
        <v/>
      </c>
    </row>
    <row r="27">
      <c r="A27" s="9" t="inlineStr">
        <is>
          <t>MOD-14</t>
        </is>
      </c>
      <c r="B27" s="10" t="inlineStr">
        <is>
          <t>Commercial Reports &amp; CSV Export Registers</t>
        </is>
      </c>
      <c r="C27" s="9" t="n">
        <v>6</v>
      </c>
      <c r="D27" s="9">
        <f>COUNTIFS('Manual Test Matrix'!$B:$B, "MOD-14", 'Manual Test Matrix'!$I:$I, "PASS")</f>
        <v/>
      </c>
      <c r="E27" s="9">
        <f>COUNTIFS('Manual Test Matrix'!$B:$B, "MOD-14", 'Manual Test Matrix'!$I:$I, "FAIL")</f>
        <v/>
      </c>
      <c r="F27" s="9">
        <f>COUNTIFS('Manual Test Matrix'!$B:$B, "MOD-14", 'Manual Test Matrix'!$I:$I, "PENDING")</f>
        <v/>
      </c>
      <c r="G27" s="11">
        <f>IF(C27&gt;0, D27/C27, 0)</f>
        <v/>
      </c>
    </row>
    <row r="28">
      <c r="A28" s="6" t="inlineStr">
        <is>
          <t>MOD-15</t>
        </is>
      </c>
      <c r="B28" s="7" t="inlineStr">
        <is>
          <t>Immutable Audit Trail &amp; Data Integrity</t>
        </is>
      </c>
      <c r="C28" s="6" t="n">
        <v>5</v>
      </c>
      <c r="D28" s="6">
        <f>COUNTIFS('Manual Test Matrix'!$B:$B, "MOD-15", 'Manual Test Matrix'!$I:$I, "PASS")</f>
        <v/>
      </c>
      <c r="E28" s="6">
        <f>COUNTIFS('Manual Test Matrix'!$B:$B, "MOD-15", 'Manual Test Matrix'!$I:$I, "FAIL")</f>
        <v/>
      </c>
      <c r="F28" s="6">
        <f>COUNTIFS('Manual Test Matrix'!$B:$B, "MOD-15", 'Manual Test Matrix'!$I:$I, "PENDING")</f>
        <v/>
      </c>
      <c r="G28" s="8">
        <f>IF(C28&gt;0, D28/C28, 0)</f>
        <v/>
      </c>
    </row>
    <row r="29">
      <c r="A29" s="9" t="inlineStr">
        <is>
          <t>MOD-16</t>
        </is>
      </c>
      <c r="B29" s="10" t="inlineStr">
        <is>
          <t>Users, Roles &amp; Access Control</t>
        </is>
      </c>
      <c r="C29" s="9" t="n">
        <v>6</v>
      </c>
      <c r="D29" s="9">
        <f>COUNTIFS('Manual Test Matrix'!$B:$B, "MOD-16", 'Manual Test Matrix'!$I:$I, "PASS")</f>
        <v/>
      </c>
      <c r="E29" s="9">
        <f>COUNTIFS('Manual Test Matrix'!$B:$B, "MOD-16", 'Manual Test Matrix'!$I:$I, "FAIL")</f>
        <v/>
      </c>
      <c r="F29" s="9">
        <f>COUNTIFS('Manual Test Matrix'!$B:$B, "MOD-16", 'Manual Test Matrix'!$I:$I, "PENDING")</f>
        <v/>
      </c>
      <c r="G29" s="11">
        <f>IF(C29&gt;0, D29/C29, 0)</f>
        <v/>
      </c>
    </row>
    <row r="30">
      <c r="A30" s="6" t="inlineStr">
        <is>
          <t>MOD-17</t>
        </is>
      </c>
      <c r="B30" s="7" t="inlineStr">
        <is>
          <t>Settings, Company GSTIN &amp; Bank Details</t>
        </is>
      </c>
      <c r="C30" s="6" t="n">
        <v>6</v>
      </c>
      <c r="D30" s="6">
        <f>COUNTIFS('Manual Test Matrix'!$B:$B, "MOD-17", 'Manual Test Matrix'!$I:$I, "PASS")</f>
        <v/>
      </c>
      <c r="E30" s="6">
        <f>COUNTIFS('Manual Test Matrix'!$B:$B, "MOD-17", 'Manual Test Matrix'!$I:$I, "FAIL")</f>
        <v/>
      </c>
      <c r="F30" s="6">
        <f>COUNTIFS('Manual Test Matrix'!$B:$B, "MOD-17", 'Manual Test Matrix'!$I:$I, "PENDING")</f>
        <v/>
      </c>
      <c r="G30" s="8">
        <f>IF(C30&gt;0, D30/C30, 0)</f>
        <v/>
      </c>
    </row>
    <row r="31">
      <c r="A31" s="9" t="inlineStr">
        <is>
          <t>MOD-18</t>
        </is>
      </c>
      <c r="B31" s="10" t="inlineStr">
        <is>
          <t>Edge Cases, Precision &amp; Boundary Conditions</t>
        </is>
      </c>
      <c r="C31" s="9" t="n">
        <v>7</v>
      </c>
      <c r="D31" s="9">
        <f>COUNTIFS('Manual Test Matrix'!$B:$B, "MOD-18", 'Manual Test Matrix'!$I:$I, "PASS")</f>
        <v/>
      </c>
      <c r="E31" s="9">
        <f>COUNTIFS('Manual Test Matrix'!$B:$B, "MOD-18", 'Manual Test Matrix'!$I:$I, "FAIL")</f>
        <v/>
      </c>
      <c r="F31" s="9">
        <f>COUNTIFS('Manual Test Matrix'!$B:$B, "MOD-18", 'Manual Test Matrix'!$I:$I, "PENDING")</f>
        <v/>
      </c>
      <c r="G31" s="11">
        <f>IF(C31&gt;0, D31/C31, 0)</f>
        <v/>
      </c>
    </row>
    <row r="32">
      <c r="A32" s="12" t="inlineStr">
        <is>
          <t>TOTAL</t>
        </is>
      </c>
      <c r="B32" s="13" t="inlineStr">
        <is>
          <t>All 18 Modules Combined</t>
        </is>
      </c>
      <c r="C32" s="12">
        <f>SUM(C14:C31)</f>
        <v/>
      </c>
      <c r="D32" s="12">
        <f>SUM(D14:D31)</f>
        <v/>
      </c>
      <c r="E32" s="12">
        <f>SUM(E14:E31)</f>
        <v/>
      </c>
      <c r="F32" s="12">
        <f>SUM(F14:F31)</f>
        <v/>
      </c>
      <c r="G32" s="14">
        <f>IF(C32&gt;0, D32/C32,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30" customWidth="1" min="4" max="4"/>
    <col width="20" customWidth="1" min="5" max="5"/>
    <col width="42" customWidth="1" min="6" max="6"/>
    <col width="24" customWidth="1" min="7" max="7"/>
    <col width="42" customWidth="1" min="8" max="8"/>
    <col width="14" customWidth="1" min="9" max="9"/>
    <col width="28" customWidth="1" min="10" max="10"/>
  </cols>
  <sheetData>
    <row r="1" ht="28" customHeight="1">
      <c r="A1" s="15" t="inlineStr">
        <is>
          <t>Test ID</t>
        </is>
      </c>
      <c r="B1" s="15" t="inlineStr">
        <is>
          <t>Module ID</t>
        </is>
      </c>
      <c r="C1" s="15" t="inlineStr">
        <is>
          <t>Module Name</t>
        </is>
      </c>
      <c r="D1" s="15" t="inlineStr">
        <is>
          <t>Test Scenario / Feature</t>
        </is>
      </c>
      <c r="E1" s="15" t="inlineStr">
        <is>
          <t>Prerequisites</t>
        </is>
      </c>
      <c r="F1" s="15" t="inlineStr">
        <is>
          <t>Step-by-Step Test Actions</t>
        </is>
      </c>
      <c r="G1" s="15" t="inlineStr">
        <is>
          <t>Test Data</t>
        </is>
      </c>
      <c r="H1" s="15" t="inlineStr">
        <is>
          <t>Expected Result</t>
        </is>
      </c>
      <c r="I1" s="15" t="inlineStr">
        <is>
          <t>Status</t>
        </is>
      </c>
      <c r="J1" s="15" t="inlineStr">
        <is>
          <t>Tester Notes / Observation</t>
        </is>
      </c>
    </row>
    <row r="2" ht="45" customHeight="1">
      <c r="A2" s="16" t="inlineStr">
        <is>
          <t>TC-AUTH-01</t>
        </is>
      </c>
      <c r="B2" s="16" t="inlineStr">
        <is>
          <t>MOD-01</t>
        </is>
      </c>
      <c r="C2" s="17" t="inlineStr">
        <is>
          <t>Authentication &amp; Session Management</t>
        </is>
      </c>
      <c r="D2" s="18" t="inlineStr">
        <is>
          <t>Successful Admin Login</t>
        </is>
      </c>
      <c r="E2" s="18" t="inlineStr">
        <is>
          <t>Logged out state</t>
        </is>
      </c>
      <c r="F2" s="18" t="inlineStr">
        <is>
          <t>1. Navigate to base URL.
2. Enter admin username and password.
3. Click "Sign In".</t>
        </is>
      </c>
      <c r="G2" s="18" t="inlineStr">
        <is>
          <t>Username: sreebalajigold@gmail.com
Password: password</t>
        </is>
      </c>
      <c r="H2" s="18" t="inlineStr">
        <is>
          <t>User is authenticated and redirected to Dashboard. Current user badge shows "ADMIN".</t>
        </is>
      </c>
      <c r="I2" s="19" t="inlineStr">
        <is>
          <t>PENDING</t>
        </is>
      </c>
      <c r="J2" s="18" t="inlineStr"/>
    </row>
    <row r="3" ht="45" customHeight="1">
      <c r="A3" s="20" t="inlineStr">
        <is>
          <t>TC-AUTH-02</t>
        </is>
      </c>
      <c r="B3" s="20" t="inlineStr">
        <is>
          <t>MOD-01</t>
        </is>
      </c>
      <c r="C3" s="21" t="inlineStr">
        <is>
          <t>Authentication &amp; Session Management</t>
        </is>
      </c>
      <c r="D3" s="22" t="inlineStr">
        <is>
          <t>Invalid Password Rejection</t>
        </is>
      </c>
      <c r="E3" s="22" t="inlineStr">
        <is>
          <t>Logged out state</t>
        </is>
      </c>
      <c r="F3" s="22" t="inlineStr">
        <is>
          <t>1. Enter valid username with wrong password.
2. Click "Sign In".</t>
        </is>
      </c>
      <c r="G3" s="22" t="inlineStr">
        <is>
          <t>Username: sreebalajigold@gmail.com
Password: wrongpass</t>
        </is>
      </c>
      <c r="H3" s="22" t="inlineStr">
        <is>
          <t>Error message displayed: "Invalid username or password. Please verify your credentials." Login fails.</t>
        </is>
      </c>
      <c r="I3" s="23" t="inlineStr">
        <is>
          <t>PENDING</t>
        </is>
      </c>
      <c r="J3" s="22" t="inlineStr"/>
    </row>
    <row r="4" ht="45" customHeight="1">
      <c r="A4" s="16" t="inlineStr">
        <is>
          <t>TC-AUTH-03</t>
        </is>
      </c>
      <c r="B4" s="16" t="inlineStr">
        <is>
          <t>MOD-01</t>
        </is>
      </c>
      <c r="C4" s="17" t="inlineStr">
        <is>
          <t>Authentication &amp; Session Management</t>
        </is>
      </c>
      <c r="D4" s="18" t="inlineStr">
        <is>
          <t>Password Visibility Toggle</t>
        </is>
      </c>
      <c r="E4" s="18" t="inlineStr">
        <is>
          <t>Logged out state</t>
        </is>
      </c>
      <c r="F4" s="18" t="inlineStr">
        <is>
          <t>1. Type password in password field.
2. Click the eye icon button.</t>
        </is>
      </c>
      <c r="G4" s="18" t="inlineStr">
        <is>
          <t>Password: secretpassword</t>
        </is>
      </c>
      <c r="H4" s="18" t="inlineStr">
        <is>
          <t>Password input changes from masked (••••••) to clear text and back upon toggle.</t>
        </is>
      </c>
      <c r="I4" s="19" t="inlineStr">
        <is>
          <t>PENDING</t>
        </is>
      </c>
      <c r="J4" s="18" t="inlineStr"/>
    </row>
    <row r="5" ht="45" customHeight="1">
      <c r="A5" s="20" t="inlineStr">
        <is>
          <t>TC-AUTH-04</t>
        </is>
      </c>
      <c r="B5" s="20" t="inlineStr">
        <is>
          <t>MOD-01</t>
        </is>
      </c>
      <c r="C5" s="21" t="inlineStr">
        <is>
          <t>Authentication &amp; Session Management</t>
        </is>
      </c>
      <c r="D5" s="22" t="inlineStr">
        <is>
          <t>Password Reset Modal Workflow</t>
        </is>
      </c>
      <c r="E5" s="22" t="inlineStr">
        <is>
          <t>Logged out state</t>
        </is>
      </c>
      <c r="F5" s="22" t="inlineStr">
        <is>
          <t>1. Click "Forgot your password?".
2. Enter registered email.
3. Enter new password and confirmation.
4. Submit.</t>
        </is>
      </c>
      <c r="G5" s="22" t="inlineStr">
        <is>
          <t>Email: sreebalajigold@gmail.com
New Pass: newpass123
Confirm: newpass123</t>
        </is>
      </c>
      <c r="H5" s="22" t="inlineStr">
        <is>
          <t>Success banner displays, modal closes, user can immediately login with the new password.</t>
        </is>
      </c>
      <c r="I5" s="23" t="inlineStr">
        <is>
          <t>PENDING</t>
        </is>
      </c>
      <c r="J5" s="22" t="inlineStr"/>
    </row>
    <row r="6" ht="45" customHeight="1">
      <c r="A6" s="16" t="inlineStr">
        <is>
          <t>TC-AUTH-05</t>
        </is>
      </c>
      <c r="B6" s="16" t="inlineStr">
        <is>
          <t>MOD-01</t>
        </is>
      </c>
      <c r="C6" s="17" t="inlineStr">
        <is>
          <t>Authentication &amp; Session Management</t>
        </is>
      </c>
      <c r="D6" s="18" t="inlineStr">
        <is>
          <t>Session Persistence on Page Reload</t>
        </is>
      </c>
      <c r="E6" s="18" t="inlineStr">
        <is>
          <t>User logged in</t>
        </is>
      </c>
      <c r="F6" s="18" t="inlineStr">
        <is>
          <t>1. Log in successfully.
2. Press browser Refresh (F5 / Cmd+R).</t>
        </is>
      </c>
      <c r="G6" s="18" t="inlineStr">
        <is>
          <t>N/A</t>
        </is>
      </c>
      <c r="H6" s="18" t="inlineStr">
        <is>
          <t>User remains logged in on the active tab without being kicked back to login screen.</t>
        </is>
      </c>
      <c r="I6" s="19" t="inlineStr">
        <is>
          <t>PENDING</t>
        </is>
      </c>
      <c r="J6" s="18" t="inlineStr"/>
    </row>
    <row r="7" ht="45" customHeight="1">
      <c r="A7" s="20" t="inlineStr">
        <is>
          <t>TC-AUTH-06</t>
        </is>
      </c>
      <c r="B7" s="20" t="inlineStr">
        <is>
          <t>MOD-01</t>
        </is>
      </c>
      <c r="C7" s="21" t="inlineStr">
        <is>
          <t>Authentication &amp; Session Management</t>
        </is>
      </c>
      <c r="D7" s="22" t="inlineStr">
        <is>
          <t>Secure User Logout</t>
        </is>
      </c>
      <c r="E7" s="22" t="inlineStr">
        <is>
          <t>User logged in</t>
        </is>
      </c>
      <c r="F7" s="22" t="inlineStr">
        <is>
          <t>1. Click user avatar on top-right.
2. Click "Sign Out".</t>
        </is>
      </c>
      <c r="G7" s="22" t="inlineStr">
        <is>
          <t>N/A</t>
        </is>
      </c>
      <c r="H7" s="22" t="inlineStr">
        <is>
          <t>Session clears from localStorage (sbgauth). User is immediately redirected to Login view.</t>
        </is>
      </c>
      <c r="I7" s="23" t="inlineStr">
        <is>
          <t>PENDING</t>
        </is>
      </c>
      <c r="J7" s="22" t="inlineStr"/>
    </row>
    <row r="8" ht="45" customHeight="1">
      <c r="A8" s="16" t="inlineStr">
        <is>
          <t>TC-NAV-01</t>
        </is>
      </c>
      <c r="B8" s="16" t="inlineStr">
        <is>
          <t>MOD-02</t>
        </is>
      </c>
      <c r="C8" s="17" t="inlineStr">
        <is>
          <t>Header, Navigation &amp; Live Gold Rate Engine</t>
        </is>
      </c>
      <c r="D8" s="18" t="inlineStr">
        <is>
          <t>Desktop Sidebar Navigation</t>
        </is>
      </c>
      <c r="E8" s="18" t="inlineStr">
        <is>
          <t>Admin user</t>
        </is>
      </c>
      <c r="F8" s="18" t="inlineStr">
        <is>
          <t>1. Click each sidebar item: Dashboard, Customers, SBG Estimates, Audit &amp; Security, Users &amp; Access, Settings.</t>
        </is>
      </c>
      <c r="G8" s="18" t="inlineStr">
        <is>
          <t>N/A</t>
        </is>
      </c>
      <c r="H8" s="18" t="inlineStr">
        <is>
          <t>View updates smoothly with URL parameter ?tab=... and correct page content rendered.</t>
        </is>
      </c>
      <c r="I8" s="19" t="inlineStr">
        <is>
          <t>PENDING</t>
        </is>
      </c>
      <c r="J8" s="18" t="inlineStr"/>
    </row>
    <row r="9" ht="45" customHeight="1">
      <c r="A9" s="20" t="inlineStr">
        <is>
          <t>TC-NAV-02</t>
        </is>
      </c>
      <c r="B9" s="20" t="inlineStr">
        <is>
          <t>MOD-02</t>
        </is>
      </c>
      <c r="C9" s="21" t="inlineStr">
        <is>
          <t>Header, Navigation &amp; Live Gold Rate Engine</t>
        </is>
      </c>
      <c r="D9" s="22" t="inlineStr">
        <is>
          <t>Sidebar Collapse &amp; Expand Toggle</t>
        </is>
      </c>
      <c r="E9" s="22" t="inlineStr">
        <is>
          <t>Desktop viewport</t>
        </is>
      </c>
      <c r="F9" s="22" t="inlineStr">
        <is>
          <t>1. Click the collapse arrow icon next to sidebar.
2. Verify collapsed icon-only state.
3. Click expand icon.</t>
        </is>
      </c>
      <c r="G9" s="22" t="inlineStr">
        <is>
          <t>N/A</t>
        </is>
      </c>
      <c r="H9" s="22" t="inlineStr">
        <is>
          <t>Sidebar collapses smoothly, main content expands; state persists across page reload (sbgsidebarcollapsed).</t>
        </is>
      </c>
      <c r="I9" s="23" t="inlineStr">
        <is>
          <t>PENDING</t>
        </is>
      </c>
      <c r="J9" s="22" t="inlineStr"/>
    </row>
    <row r="10" ht="45" customHeight="1">
      <c r="A10" s="16" t="inlineStr">
        <is>
          <t>TC-NAV-03</t>
        </is>
      </c>
      <c r="B10" s="16" t="inlineStr">
        <is>
          <t>MOD-02</t>
        </is>
      </c>
      <c r="C10" s="17" t="inlineStr">
        <is>
          <t>Header, Navigation &amp; Live Gold Rate Engine</t>
        </is>
      </c>
      <c r="D10" s="18" t="inlineStr">
        <is>
          <t>Role-Based Navigation Filtering</t>
        </is>
      </c>
      <c r="E10" s="18" t="inlineStr">
        <is>
          <t>Staff / Client login</t>
        </is>
      </c>
      <c r="F10" s="18" t="inlineStr">
        <is>
          <t>1. Log in as STAFF user.
2. Check sidebar items.
3. Log in as CLIENT user.</t>
        </is>
      </c>
      <c r="G10" s="18" t="inlineStr">
        <is>
          <t>Staff user
Client user</t>
        </is>
      </c>
      <c r="H10" s="18" t="inlineStr">
        <is>
          <t>Staff sees Dashboard, Customers, Estimates, Settings.
Client sees only Dashboard, Customers, Estimates.</t>
        </is>
      </c>
      <c r="I10" s="19" t="inlineStr">
        <is>
          <t>PENDING</t>
        </is>
      </c>
      <c r="J10" s="18" t="inlineStr"/>
    </row>
    <row r="11" ht="45" customHeight="1">
      <c r="A11" s="20" t="inlineStr">
        <is>
          <t>TC-NAV-04</t>
        </is>
      </c>
      <c r="B11" s="20" t="inlineStr">
        <is>
          <t>MOD-02</t>
        </is>
      </c>
      <c r="C11" s="21" t="inlineStr">
        <is>
          <t>Header, Navigation &amp; Live Gold Rate Engine</t>
        </is>
      </c>
      <c r="D11" s="22" t="inlineStr">
        <is>
          <t>Live Gold Rate Ticker Display</t>
        </is>
      </c>
      <c r="E11" s="22" t="inlineStr">
        <is>
          <t>Dashboard open</t>
        </is>
      </c>
      <c r="F11" s="22" t="inlineStr">
        <is>
          <t>1. Observe gold rate pill in header.
2. Check purity dropdown (24KT, 22KT, 18KT, 14KT, 99.5%).</t>
        </is>
      </c>
      <c r="G11" s="22" t="inlineStr">
        <is>
          <t>Purity options</t>
        </is>
      </c>
      <c r="H11" s="22" t="inlineStr">
        <is>
          <t>Displayed rate adjusts according to formula: $\text{Rate} = \text{Base Rate} \times \left(\frac{\text{Purity}}{100}\right)$. Live indicator pulses green.</t>
        </is>
      </c>
      <c r="I11" s="23" t="inlineStr">
        <is>
          <t>PENDING</t>
        </is>
      </c>
      <c r="J11" s="22" t="inlineStr"/>
    </row>
    <row r="12" ht="45" customHeight="1">
      <c r="A12" s="16" t="inlineStr">
        <is>
          <t>TC-NAV-05</t>
        </is>
      </c>
      <c r="B12" s="16" t="inlineStr">
        <is>
          <t>MOD-02</t>
        </is>
      </c>
      <c r="C12" s="17" t="inlineStr">
        <is>
          <t>Header, Navigation &amp; Live Gold Rate Engine</t>
        </is>
      </c>
      <c r="D12" s="18" t="inlineStr">
        <is>
          <t>Live Rate Manual Refresh</t>
        </is>
      </c>
      <c r="E12" s="18" t="inlineStr">
        <is>
          <t>Dashboard open</t>
        </is>
      </c>
      <c r="F12" s="18" t="inlineStr">
        <is>
          <t>1. Click the Sparkles/Refresh icon on rate badge in header.</t>
        </is>
      </c>
      <c r="G12" s="18" t="inlineStr">
        <is>
          <t>N/A</t>
        </is>
      </c>
      <c r="H12" s="18" t="inlineStr">
        <is>
          <t>Trigger fetches live spot price from online API or applies latest ticker rate; timestamp updates.</t>
        </is>
      </c>
      <c r="I12" s="19" t="inlineStr">
        <is>
          <t>PENDING</t>
        </is>
      </c>
      <c r="J12" s="18" t="inlineStr"/>
    </row>
    <row r="13" ht="45" customHeight="1">
      <c r="A13" s="20" t="inlineStr">
        <is>
          <t>TC-NAV-06</t>
        </is>
      </c>
      <c r="B13" s="20" t="inlineStr">
        <is>
          <t>MOD-02</t>
        </is>
      </c>
      <c r="C13" s="21" t="inlineStr">
        <is>
          <t>Header, Navigation &amp; Live Gold Rate Engine</t>
        </is>
      </c>
      <c r="D13" s="22" t="inlineStr">
        <is>
          <t>Manual Market Gold Rate Override</t>
        </is>
      </c>
      <c r="E13" s="22" t="inlineStr">
        <is>
          <t>Settings or Rate Modal</t>
        </is>
      </c>
      <c r="F13" s="22" t="inlineStr">
        <is>
          <t>1. Click rate pill to open edit modal.
2. Enter new rate value (e.g. ₹ 7,500.00/g).
3. Click Save.</t>
        </is>
      </c>
      <c r="G13" s="22" t="inlineStr">
        <is>
          <t>Rate: 7500.00</t>
        </is>
      </c>
      <c r="H13" s="22" t="inlineStr">
        <is>
          <t>Market rate updates across all headers, estimate builders, and valuation widgets immediately.</t>
        </is>
      </c>
      <c r="I13" s="23" t="inlineStr">
        <is>
          <t>PENDING</t>
        </is>
      </c>
      <c r="J13" s="22" t="inlineStr"/>
    </row>
    <row r="14" ht="45" customHeight="1">
      <c r="A14" s="16" t="inlineStr">
        <is>
          <t>TC-NAV-07</t>
        </is>
      </c>
      <c r="B14" s="16" t="inlineStr">
        <is>
          <t>MOD-02</t>
        </is>
      </c>
      <c r="C14" s="17" t="inlineStr">
        <is>
          <t>Header, Navigation &amp; Live Gold Rate Engine</t>
        </is>
      </c>
      <c r="D14" s="18" t="inlineStr">
        <is>
          <t>Notification Center &amp; Clear Badge</t>
        </is>
      </c>
      <c r="E14" s="18" t="inlineStr">
        <is>
          <t>Unread alerts exist</t>
        </is>
      </c>
      <c r="F14" s="18" t="inlineStr">
        <is>
          <t>1. Observe notification bell badge counter.
2. Click bell to open popup.
3. View alerts and close.</t>
        </is>
      </c>
      <c r="G14" s="18" t="inlineStr">
        <is>
          <t>Notification badge</t>
        </is>
      </c>
      <c r="H14" s="18" t="inlineStr">
        <is>
          <t>Badge counter immediately resets to zero upon opening. Notifications persist in read state.</t>
        </is>
      </c>
      <c r="I14" s="19" t="inlineStr">
        <is>
          <t>PENDING</t>
        </is>
      </c>
      <c r="J14" s="18" t="inlineStr"/>
    </row>
    <row r="15" ht="45" customHeight="1">
      <c r="A15" s="20" t="inlineStr">
        <is>
          <t>TC-DASH-01</t>
        </is>
      </c>
      <c r="B15" s="20" t="inlineStr">
        <is>
          <t>MOD-03</t>
        </is>
      </c>
      <c r="C15" s="21" t="inlineStr">
        <is>
          <t>Commercial Dashboard &amp; KPI Metrics</t>
        </is>
      </c>
      <c r="D15" s="22" t="inlineStr">
        <is>
          <t>Active Customers Metric Card</t>
        </is>
      </c>
      <c r="E15" s="22" t="inlineStr">
        <is>
          <t>Dashboard open</t>
        </is>
      </c>
      <c r="F15" s="22" t="inlineStr">
        <is>
          <t>1. Check "Active Customers" KPI card count.
2. Click the card.</t>
        </is>
      </c>
      <c r="G15" s="22" t="inlineStr">
        <is>
          <t>Customer count</t>
        </is>
      </c>
      <c r="H15" s="22" t="inlineStr">
        <is>
          <t>Card displays exact count of ACTIVE customers. Clicking navigates to Customers view (?tab=customers).</t>
        </is>
      </c>
      <c r="I15" s="23" t="inlineStr">
        <is>
          <t>PENDING</t>
        </is>
      </c>
      <c r="J15" s="22" t="inlineStr"/>
    </row>
    <row r="16" ht="45" customHeight="1">
      <c r="A16" s="16" t="inlineStr">
        <is>
          <t>TC-DASH-02</t>
        </is>
      </c>
      <c r="B16" s="16" t="inlineStr">
        <is>
          <t>MOD-03</t>
        </is>
      </c>
      <c r="C16" s="17" t="inlineStr">
        <is>
          <t>Commercial Dashboard &amp; KPI Metrics</t>
        </is>
      </c>
      <c r="D16" s="18" t="inlineStr">
        <is>
          <t>Open Commercial Orders Metric Card</t>
        </is>
      </c>
      <c r="E16" s="18" t="inlineStr">
        <is>
          <t>Dashboard open</t>
        </is>
      </c>
      <c r="F16" s="18" t="inlineStr">
        <is>
          <t>1. Check "Open Commercial Orders" count.
2. Click the card.</t>
        </is>
      </c>
      <c r="G16" s="18" t="inlineStr">
        <is>
          <t>Open orders</t>
        </is>
      </c>
      <c r="H16" s="18" t="inlineStr">
        <is>
          <t>Displays orders in PENDING or INPRODUCTION. Clicking navigates to Orders view (?tab=orders).</t>
        </is>
      </c>
      <c r="I16" s="19" t="inlineStr">
        <is>
          <t>PENDING</t>
        </is>
      </c>
      <c r="J16" s="18" t="inlineStr"/>
    </row>
    <row r="17" ht="45" customHeight="1">
      <c r="A17" s="20" t="inlineStr">
        <is>
          <t>TC-DASH-03</t>
        </is>
      </c>
      <c r="B17" s="20" t="inlineStr">
        <is>
          <t>MOD-03</t>
        </is>
      </c>
      <c r="C17" s="21" t="inlineStr">
        <is>
          <t>Commercial Dashboard &amp; KPI Metrics</t>
        </is>
      </c>
      <c r="D17" s="22" t="inlineStr">
        <is>
          <t>Net Pure Gold Outstanding Card</t>
        </is>
      </c>
      <c r="E17" s="22" t="inlineStr">
        <is>
          <t>Dashboard open</t>
        </is>
      </c>
      <c r="F17" s="22" t="inlineStr">
        <is>
          <t>1. Read pure gold total grams.
2. Check INR equivalent value.
3. Verify formula: $\text{Grams} \times \text{Rate}$.</t>
        </is>
      </c>
      <c r="G17" s="22" t="inlineStr">
        <is>
          <t>Customer pure gold balances</t>
        </is>
      </c>
      <c r="H17" s="22" t="inlineStr">
        <is>
          <t>Card shows sum of all customer currentWT to 3 decimals. INR shows $\text{Pure WT} \times \text{Market Gold Rate}$.</t>
        </is>
      </c>
      <c r="I17" s="23" t="inlineStr">
        <is>
          <t>PENDING</t>
        </is>
      </c>
      <c r="J17" s="22" t="inlineStr"/>
    </row>
    <row r="18" ht="45" customHeight="1">
      <c r="A18" s="16" t="inlineStr">
        <is>
          <t>TC-DASH-04</t>
        </is>
      </c>
      <c r="B18" s="16" t="inlineStr">
        <is>
          <t>MOD-03</t>
        </is>
      </c>
      <c r="C18" s="17" t="inlineStr">
        <is>
          <t>Commercial Dashboard &amp; KPI Metrics</t>
        </is>
      </c>
      <c r="D18" s="18" t="inlineStr">
        <is>
          <t>Net MC Balance Outstanding Card</t>
        </is>
      </c>
      <c r="E18" s="18" t="inlineStr">
        <is>
          <t>Dashboard open</t>
        </is>
      </c>
      <c r="F18" s="18" t="inlineStr">
        <is>
          <t>1. Read net Making Charge currency card.
2. Click the card.</t>
        </is>
      </c>
      <c r="G18" s="18" t="inlineStr">
        <is>
          <t>Customer cash balances</t>
        </is>
      </c>
      <c r="H18" s="18" t="inlineStr">
        <is>
          <t>Displays sum of all customer currentMC to 2 decimals. Clicking navigates to Ledger view.</t>
        </is>
      </c>
      <c r="I18" s="19" t="inlineStr">
        <is>
          <t>PENDING</t>
        </is>
      </c>
      <c r="J18" s="18" t="inlineStr"/>
    </row>
    <row r="19" ht="45" customHeight="1">
      <c r="A19" s="20" t="inlineStr">
        <is>
          <t>TC-DASH-05</t>
        </is>
      </c>
      <c r="B19" s="20" t="inlineStr">
        <is>
          <t>MOD-03</t>
        </is>
      </c>
      <c r="C19" s="21" t="inlineStr">
        <is>
          <t>Commercial Dashboard &amp; KPI Metrics</t>
        </is>
      </c>
      <c r="D19" s="22" t="inlineStr">
        <is>
          <t>Customer Outstanding Table on Dashboard</t>
        </is>
      </c>
      <c r="E19" s="22" t="inlineStr">
        <is>
          <t>Dashboard open</t>
        </is>
      </c>
      <c r="F19" s="22" t="inlineStr">
        <is>
          <t>1. Inspect table of customer balances.
2. Click a customer row.</t>
        </is>
      </c>
      <c r="G19" s="22" t="inlineStr">
        <is>
          <t>Customer rows</t>
        </is>
      </c>
      <c r="H19" s="22" t="inlineStr">
        <is>
          <t>Displays customer code, name, pure gold balance, and cash balance. Clicking row opens Customer Profile.</t>
        </is>
      </c>
      <c r="I19" s="23" t="inlineStr">
        <is>
          <t>PENDING</t>
        </is>
      </c>
      <c r="J19" s="22" t="inlineStr"/>
    </row>
    <row r="20" ht="45" customHeight="1">
      <c r="A20" s="16" t="inlineStr">
        <is>
          <t>TC-DASH-06</t>
        </is>
      </c>
      <c r="B20" s="16" t="inlineStr">
        <is>
          <t>MOD-03</t>
        </is>
      </c>
      <c r="C20" s="17" t="inlineStr">
        <is>
          <t>Commercial Dashboard &amp; KPI Metrics</t>
        </is>
      </c>
      <c r="D20" s="18" t="inlineStr">
        <is>
          <t>Recent Activity &amp; Quick Action Cards</t>
        </is>
      </c>
      <c r="E20" s="18" t="inlineStr">
        <is>
          <t>Dashboard open</t>
        </is>
      </c>
      <c r="F20" s="18" t="inlineStr">
        <is>
          <t>1. Inspect Recent Estimates and Recent Transactions widgets.
2. Click "New Estimate" quick button.</t>
        </is>
      </c>
      <c r="G20" s="18" t="inlineStr">
        <is>
          <t>N/A</t>
        </is>
      </c>
      <c r="H20" s="18" t="inlineStr">
        <is>
          <t>Shows latest 3 estimates and transactions. Quick action button navigates to new-estimate view.</t>
        </is>
      </c>
      <c r="I20" s="19" t="inlineStr">
        <is>
          <t>PENDING</t>
        </is>
      </c>
      <c r="J20" s="18" t="inlineStr"/>
    </row>
    <row r="21" ht="45" customHeight="1">
      <c r="A21" s="20" t="inlineStr">
        <is>
          <t>TC-CUST-01</t>
        </is>
      </c>
      <c r="B21" s="20" t="inlineStr">
        <is>
          <t>MOD-04</t>
        </is>
      </c>
      <c r="C21" s="21" t="inlineStr">
        <is>
          <t>Customer KYC Directory &amp; Master Data</t>
        </is>
      </c>
      <c r="D21" s="22" t="inlineStr">
        <is>
          <t>Add New Customer Account</t>
        </is>
      </c>
      <c r="E21" s="22" t="inlineStr">
        <is>
          <t>Customers view open</t>
        </is>
      </c>
      <c r="F21" s="22" t="inlineStr">
        <is>
          <t>1. Click "Add Customer".
2. Fill Name, Phone, Email, City, Address, GSTIN.
3. Set Opening Pure WT and Opening MC.
4. Save.</t>
        </is>
      </c>
      <c r="G21" s="22" t="inlineStr">
        <is>
          <t>Name: Suraj Jewellers
Phone: 9820011223
GSTIN: 27ABCDE1234F1Z5
Opening WT: 10.500
Opening MC: 25000</t>
        </is>
      </c>
      <c r="H21" s="22" t="inlineStr">
        <is>
          <t>New customer created with auto-code (e.g. SBG-C105). Current balances initialized to opening values.</t>
        </is>
      </c>
      <c r="I21" s="23" t="inlineStr">
        <is>
          <t>PENDING</t>
        </is>
      </c>
      <c r="J21" s="22" t="inlineStr"/>
    </row>
    <row r="22" ht="45" customHeight="1">
      <c r="A22" s="16" t="inlineStr">
        <is>
          <t>TC-CUST-02</t>
        </is>
      </c>
      <c r="B22" s="16" t="inlineStr">
        <is>
          <t>MOD-04</t>
        </is>
      </c>
      <c r="C22" s="17" t="inlineStr">
        <is>
          <t>Customer KYC Directory &amp; Master Data</t>
        </is>
      </c>
      <c r="D22" s="18" t="inlineStr">
        <is>
          <t>Customer Phone Number Validation</t>
        </is>
      </c>
      <c r="E22" s="18" t="inlineStr">
        <is>
          <t>Add customer modal</t>
        </is>
      </c>
      <c r="F22" s="18" t="inlineStr">
        <is>
          <t>1. Enter invalid phone number with alphabets or less than 10 digits.
2. Attempt to save.</t>
        </is>
      </c>
      <c r="G22" s="18" t="inlineStr">
        <is>
          <t>Phone: 123abc</t>
        </is>
      </c>
      <c r="H22" s="18" t="inlineStr">
        <is>
          <t>Validation error shown. Customer cannot be saved with invalid phone.</t>
        </is>
      </c>
      <c r="I22" s="19" t="inlineStr">
        <is>
          <t>PENDING</t>
        </is>
      </c>
      <c r="J22" s="18" t="inlineStr"/>
    </row>
    <row r="23" ht="45" customHeight="1">
      <c r="A23" s="20" t="inlineStr">
        <is>
          <t>TC-CUST-03</t>
        </is>
      </c>
      <c r="B23" s="20" t="inlineStr">
        <is>
          <t>MOD-04</t>
        </is>
      </c>
      <c r="C23" s="21" t="inlineStr">
        <is>
          <t>Customer KYC Directory &amp; Master Data</t>
        </is>
      </c>
      <c r="D23" s="22" t="inlineStr">
        <is>
          <t>Customer Search Functionality</t>
        </is>
      </c>
      <c r="E23" s="22" t="inlineStr">
        <is>
          <t>Customers view open</t>
        </is>
      </c>
      <c r="F23" s="22" t="inlineStr">
        <is>
          <t>1. Type name, phone, or customer code in search bar.</t>
        </is>
      </c>
      <c r="G23" s="22" t="inlineStr">
        <is>
          <t>Query: TIKVAH or 944</t>
        </is>
      </c>
      <c r="H23" s="22" t="inlineStr">
        <is>
          <t>Customer list filters dynamically in real-time matching code, name, city, or phone number.</t>
        </is>
      </c>
      <c r="I23" s="23" t="inlineStr">
        <is>
          <t>PENDING</t>
        </is>
      </c>
      <c r="J23" s="22" t="inlineStr"/>
    </row>
    <row r="24" ht="45" customHeight="1">
      <c r="A24" s="16" t="inlineStr">
        <is>
          <t>TC-CUST-04</t>
        </is>
      </c>
      <c r="B24" s="16" t="inlineStr">
        <is>
          <t>MOD-04</t>
        </is>
      </c>
      <c r="C24" s="17" t="inlineStr">
        <is>
          <t>Customer KYC Directory &amp; Master Data</t>
        </is>
      </c>
      <c r="D24" s="18" t="inlineStr">
        <is>
          <t>Customer Status Filter</t>
        </is>
      </c>
      <c r="E24" s="18" t="inlineStr">
        <is>
          <t>Customers view open</t>
        </is>
      </c>
      <c r="F24" s="18" t="inlineStr">
        <is>
          <t>1. Select "ACTIVE" from status filter.
2. Select "INACTIVE".</t>
        </is>
      </c>
      <c r="G24" s="18" t="inlineStr">
        <is>
          <t>Status: ACTIVE / INACTIVE</t>
        </is>
      </c>
      <c r="H24" s="18" t="inlineStr">
        <is>
          <t>Table displays only customers matching the selected active or inactive status.</t>
        </is>
      </c>
      <c r="I24" s="19" t="inlineStr">
        <is>
          <t>PENDING</t>
        </is>
      </c>
      <c r="J24" s="18" t="inlineStr"/>
    </row>
    <row r="25" ht="45" customHeight="1">
      <c r="A25" s="20" t="inlineStr">
        <is>
          <t>TC-CUST-05</t>
        </is>
      </c>
      <c r="B25" s="20" t="inlineStr">
        <is>
          <t>MOD-04</t>
        </is>
      </c>
      <c r="C25" s="21" t="inlineStr">
        <is>
          <t>Customer KYC Directory &amp; Master Data</t>
        </is>
      </c>
      <c r="D25" s="22" t="inlineStr">
        <is>
          <t>Edit Customer Details</t>
        </is>
      </c>
      <c r="E25" s="22" t="inlineStr">
        <is>
          <t>Customers view open</t>
        </is>
      </c>
      <c r="F25" s="22" t="inlineStr">
        <is>
          <t>1. Click edit button on existing customer.
2. Update address or GSTIN.
3. Save.</t>
        </is>
      </c>
      <c r="G25" s="22" t="inlineStr">
        <is>
          <t>GSTIN: 27AAACR1234K1Z9</t>
        </is>
      </c>
      <c r="H25" s="22" t="inlineStr">
        <is>
          <t>Customer record updates in table and persistent storage without altering historical balances.</t>
        </is>
      </c>
      <c r="I25" s="23" t="inlineStr">
        <is>
          <t>PENDING</t>
        </is>
      </c>
      <c r="J25" s="22" t="inlineStr"/>
    </row>
    <row r="26" ht="45" customHeight="1">
      <c r="A26" s="16" t="inlineStr">
        <is>
          <t>TC-CUST-06</t>
        </is>
      </c>
      <c r="B26" s="16" t="inlineStr">
        <is>
          <t>MOD-04</t>
        </is>
      </c>
      <c r="C26" s="17" t="inlineStr">
        <is>
          <t>Customer KYC Directory &amp; Master Data</t>
        </is>
      </c>
      <c r="D26" s="18" t="inlineStr">
        <is>
          <t>Negative Opening Balances (Advance)</t>
        </is>
      </c>
      <c r="E26" s="18" t="inlineStr">
        <is>
          <t>Add customer modal</t>
        </is>
      </c>
      <c r="F26" s="18" t="inlineStr">
        <is>
          <t>1. Enter negative Opening Pure WT and negative Opening MC.
2. Save.</t>
        </is>
      </c>
      <c r="G26" s="18" t="inlineStr">
        <is>
          <t>Opening WT: -50.000
Opening MC: -100000.00</t>
        </is>
      </c>
      <c r="H26" s="18" t="inlineStr">
        <is>
          <t>Customer saved with advance balances showing in green/advance indicator (-50.000 g and -₹ 1,00,000.00).</t>
        </is>
      </c>
      <c r="I26" s="19" t="inlineStr">
        <is>
          <t>PENDING</t>
        </is>
      </c>
      <c r="J26" s="18" t="inlineStr"/>
    </row>
    <row r="27" ht="45" customHeight="1">
      <c r="A27" s="20" t="inlineStr">
        <is>
          <t>TC-CUST-07</t>
        </is>
      </c>
      <c r="B27" s="20" t="inlineStr">
        <is>
          <t>MOD-04</t>
        </is>
      </c>
      <c r="C27" s="21" t="inlineStr">
        <is>
          <t>Customer KYC Directory &amp; Master Data</t>
        </is>
      </c>
      <c r="D27" s="22" t="inlineStr">
        <is>
          <t>Export Customers to CSV</t>
        </is>
      </c>
      <c r="E27" s="22" t="inlineStr">
        <is>
          <t>Customers view open</t>
        </is>
      </c>
      <c r="F27" s="22" t="inlineStr">
        <is>
          <t>1. Click "Export CSV" button in header.</t>
        </is>
      </c>
      <c r="G27" s="22" t="inlineStr">
        <is>
          <t>N/A</t>
        </is>
      </c>
      <c r="H27" s="22" t="inlineStr">
        <is>
          <t>Browser downloads SBGCustomersList[Date].csv with all columns properly formatted.</t>
        </is>
      </c>
      <c r="I27" s="23" t="inlineStr">
        <is>
          <t>PENDING</t>
        </is>
      </c>
      <c r="J27" s="22" t="inlineStr"/>
    </row>
    <row r="28" ht="45" customHeight="1">
      <c r="A28" s="16" t="inlineStr">
        <is>
          <t>TC-PROF-01</t>
        </is>
      </c>
      <c r="B28" s="16" t="inlineStr">
        <is>
          <t>MOD-05</t>
        </is>
      </c>
      <c r="C28" s="17" t="inlineStr">
        <is>
          <t>Customer Profile, Dual-Ledger &amp; Sheet Import</t>
        </is>
      </c>
      <c r="D28" s="18" t="inlineStr">
        <is>
          <t>Dual-Ledger GC Account Tab</t>
        </is>
      </c>
      <c r="E28" s="18" t="inlineStr">
        <is>
          <t>Customer profile open</t>
        </is>
      </c>
      <c r="F28" s="18" t="inlineStr">
        <is>
          <t>1. Click "GC Account (Gold &amp; Cash)" tab.
2. Inspect table columns and running balances.</t>
        </is>
      </c>
      <c r="G28" s="18" t="inlineStr">
        <is>
          <t>Customer with transactions</t>
        </is>
      </c>
      <c r="H28" s="18" t="inlineStr">
        <is>
          <t>Displays Gross WT, Stone WT, Net WT, Touch %, Pure WT, MC, Running Pure WT, and Running MC.</t>
        </is>
      </c>
      <c r="I28" s="19" t="inlineStr">
        <is>
          <t>PENDING</t>
        </is>
      </c>
      <c r="J28" s="18" t="inlineStr"/>
    </row>
    <row r="29" ht="45" customHeight="1">
      <c r="A29" s="20" t="inlineStr">
        <is>
          <t>TC-PROF-02</t>
        </is>
      </c>
      <c r="B29" s="20" t="inlineStr">
        <is>
          <t>MOD-05</t>
        </is>
      </c>
      <c r="C29" s="21" t="inlineStr">
        <is>
          <t>Customer Profile, Dual-Ledger &amp; Sheet Import</t>
        </is>
      </c>
      <c r="D29" s="22" t="inlineStr">
        <is>
          <t>Google Sheet Visual Theme Toggle</t>
        </is>
      </c>
      <c r="E29" s="22" t="inlineStr">
        <is>
          <t>GC Account tab</t>
        </is>
      </c>
      <c r="F29" s="22" t="inlineStr">
        <is>
          <t>1. Toggle the "Google Sheets View" checkbox / switch.</t>
        </is>
      </c>
      <c r="G29" s="22" t="inlineStr">
        <is>
          <t>Switch toggle</t>
        </is>
      </c>
      <c r="H29" s="22" t="inlineStr">
        <is>
          <t>Table styles shift to Google Sheets spreadsheet format with compact borders and cell highlights.</t>
        </is>
      </c>
      <c r="I29" s="23" t="inlineStr">
        <is>
          <t>PENDING</t>
        </is>
      </c>
      <c r="J29" s="22" t="inlineStr"/>
    </row>
    <row r="30" ht="45" customHeight="1">
      <c r="A30" s="16" t="inlineStr">
        <is>
          <t>TC-PROF-03</t>
        </is>
      </c>
      <c r="B30" s="16" t="inlineStr">
        <is>
          <t>MOD-05</t>
        </is>
      </c>
      <c r="C30" s="17" t="inlineStr">
        <is>
          <t>Customer Profile, Dual-Ledger &amp; Sheet Import</t>
        </is>
      </c>
      <c r="D30" s="18" t="inlineStr">
        <is>
          <t>Cash-Only Ledger Tab</t>
        </is>
      </c>
      <c r="E30" s="18" t="inlineStr">
        <is>
          <t>Customer profile open</t>
        </is>
      </c>
      <c r="F30" s="18" t="inlineStr">
        <is>
          <t>1. Click "Cash-Only Ledger" tab.
2. Inspect chronological timeline.</t>
        </is>
      </c>
      <c r="G30" s="18" t="inlineStr">
        <is>
          <t>Confirmed estimates &amp; payments</t>
        </is>
      </c>
      <c r="H30" s="18" t="inlineStr">
        <is>
          <t>Shows opening cash balance, all confirmed estimates (issues), and payment vouchers (receipts) with running balance.</t>
        </is>
      </c>
      <c r="I30" s="19" t="inlineStr">
        <is>
          <t>PENDING</t>
        </is>
      </c>
      <c r="J30" s="18" t="inlineStr"/>
    </row>
    <row r="31" ht="45" customHeight="1">
      <c r="A31" s="20" t="inlineStr">
        <is>
          <t>TC-PROF-04</t>
        </is>
      </c>
      <c r="B31" s="20" t="inlineStr">
        <is>
          <t>MOD-05</t>
        </is>
      </c>
      <c r="C31" s="21" t="inlineStr">
        <is>
          <t>Customer Profile, Dual-Ledger &amp; Sheet Import</t>
        </is>
      </c>
      <c r="D31" s="22" t="inlineStr">
        <is>
          <t>Customer Estimates Tab</t>
        </is>
      </c>
      <c r="E31" s="22" t="inlineStr">
        <is>
          <t>Customer profile open</t>
        </is>
      </c>
      <c r="F31" s="22" t="inlineStr">
        <is>
          <t>1. Click "Estimates" tab.
2. Inspect estimate cards.</t>
        </is>
      </c>
      <c r="G31" s="22" t="inlineStr">
        <is>
          <t>Linked estimates</t>
        </is>
      </c>
      <c r="H31" s="22" t="inlineStr">
        <is>
          <t>Displays all customer estimates with status pill, gross weight, pure weight, and grand total.</t>
        </is>
      </c>
      <c r="I31" s="23" t="inlineStr">
        <is>
          <t>PENDING</t>
        </is>
      </c>
      <c r="J31" s="22" t="inlineStr"/>
    </row>
    <row r="32" ht="45" customHeight="1">
      <c r="A32" s="16" t="inlineStr">
        <is>
          <t>TC-PROF-05</t>
        </is>
      </c>
      <c r="B32" s="16" t="inlineStr">
        <is>
          <t>MOD-05</t>
        </is>
      </c>
      <c r="C32" s="17" t="inlineStr">
        <is>
          <t>Customer Profile, Dual-Ledger &amp; Sheet Import</t>
        </is>
      </c>
      <c r="D32" s="18" t="inlineStr">
        <is>
          <t>Google Sheet Bulk Import - Template Download</t>
        </is>
      </c>
      <c r="E32" s="18" t="inlineStr">
        <is>
          <t>Profile open</t>
        </is>
      </c>
      <c r="F32" s="18" t="inlineStr">
        <is>
          <t>1. Click "Import from Sheet" button.
2. Click "Download Template CSV".</t>
        </is>
      </c>
      <c r="G32" s="18" t="inlineStr">
        <is>
          <t>N/A</t>
        </is>
      </c>
      <c r="H32" s="18" t="inlineStr">
        <is>
          <t>Browser downloads SBGCustomerLedgerBulkImportTemplate.csv containing expected column headers.</t>
        </is>
      </c>
      <c r="I32" s="19" t="inlineStr">
        <is>
          <t>PENDING</t>
        </is>
      </c>
      <c r="J32" s="18" t="inlineStr"/>
    </row>
    <row r="33" ht="45" customHeight="1">
      <c r="A33" s="20" t="inlineStr">
        <is>
          <t>TC-PROF-06</t>
        </is>
      </c>
      <c r="B33" s="20" t="inlineStr">
        <is>
          <t>MOD-05</t>
        </is>
      </c>
      <c r="C33" s="21" t="inlineStr">
        <is>
          <t>Customer Profile, Dual-Ledger &amp; Sheet Import</t>
        </is>
      </c>
      <c r="D33" s="22" t="inlineStr">
        <is>
          <t>Google Sheet Bulk Import - Accounting Format</t>
        </is>
      </c>
      <c r="E33" s="22" t="inlineStr">
        <is>
          <t>Import modal open</t>
        </is>
      </c>
      <c r="F33" s="22" t="inlineStr">
        <is>
          <t>1. Paste CSV/tab data containing Excel accounting parentheses like (₹2,22,583.00).
2. Click Preview.</t>
        </is>
      </c>
      <c r="G33" s="22" t="inlineStr">
        <is>
          <t>Text with (₹2,22,583.00) and -16.421</t>
        </is>
      </c>
      <c r="H33" s="22" t="inlineStr">
        <is>
          <t>Engine correctly parses parentheses as negative values -222583.00 and displays green/red indicators.</t>
        </is>
      </c>
      <c r="I33" s="23" t="inlineStr">
        <is>
          <t>PENDING</t>
        </is>
      </c>
      <c r="J33" s="22" t="inlineStr"/>
    </row>
    <row r="34" ht="45" customHeight="1">
      <c r="A34" s="16" t="inlineStr">
        <is>
          <t>TC-PROF-07</t>
        </is>
      </c>
      <c r="B34" s="16" t="inlineStr">
        <is>
          <t>MOD-05</t>
        </is>
      </c>
      <c r="C34" s="17" t="inlineStr">
        <is>
          <t>Customer Profile, Dual-Ledger &amp; Sheet Import</t>
        </is>
      </c>
      <c r="D34" s="18" t="inlineStr">
        <is>
          <t>Google Sheet Bulk Import - Replace vs Append</t>
        </is>
      </c>
      <c r="E34" s="18" t="inlineStr">
        <is>
          <t>Import modal open</t>
        </is>
      </c>
      <c r="F34" s="18" t="inlineStr">
        <is>
          <t>1. Select "Replace all existing transactions".
2. Confirm import.
3. Inspect customer ledger.</t>
        </is>
      </c>
      <c r="G34" s="18" t="inlineStr">
        <is>
          <t>5 valid rows</t>
        </is>
      </c>
      <c r="H34" s="18" t="inlineStr">
        <is>
          <t>Previous transactions replaced, historical running balances recalculated cleanly from customer opening balance.</t>
        </is>
      </c>
      <c r="I34" s="19" t="inlineStr">
        <is>
          <t>PENDING</t>
        </is>
      </c>
      <c r="J34" s="18" t="inlineStr"/>
    </row>
    <row r="35" ht="45" customHeight="1">
      <c r="A35" s="20" t="inlineStr">
        <is>
          <t>TC-PROF-08</t>
        </is>
      </c>
      <c r="B35" s="20" t="inlineStr">
        <is>
          <t>MOD-05</t>
        </is>
      </c>
      <c r="C35" s="21" t="inlineStr">
        <is>
          <t>Customer Profile, Dual-Ledger &amp; Sheet Import</t>
        </is>
      </c>
      <c r="D35" s="22" t="inlineStr">
        <is>
          <t>Single Transaction Deletion &amp; Balance Recalculation</t>
        </is>
      </c>
      <c r="E35" s="22" t="inlineStr">
        <is>
          <t>GC Account tab</t>
        </is>
      </c>
      <c r="F35" s="22" t="inlineStr">
        <is>
          <t>1. Click Delete (trash icon) on any non-estimate transaction.
2. Confirm deletion.</t>
        </is>
      </c>
      <c r="G35" s="22" t="inlineStr">
        <is>
          <t>Transaction ID</t>
        </is>
      </c>
      <c r="H35" s="22" t="inlineStr">
        <is>
          <t>Transaction removed; subsequent transactions' running balances recalculate immediately.</t>
        </is>
      </c>
      <c r="I35" s="23" t="inlineStr">
        <is>
          <t>PENDING</t>
        </is>
      </c>
      <c r="J35" s="22" t="inlineStr"/>
    </row>
    <row r="36" ht="45" customHeight="1">
      <c r="A36" s="16" t="inlineStr">
        <is>
          <t>TC-ORD-01</t>
        </is>
      </c>
      <c r="B36" s="16" t="inlineStr">
        <is>
          <t>MOD-06</t>
        </is>
      </c>
      <c r="C36" s="17" t="inlineStr">
        <is>
          <t>Commercial Orders &amp; Production Tracking</t>
        </is>
      </c>
      <c r="D36" s="18" t="inlineStr">
        <is>
          <t>Create New Manufacturing Order</t>
        </is>
      </c>
      <c r="E36" s="18" t="inlineStr">
        <is>
          <t>Orders view open</t>
        </is>
      </c>
      <c r="F36" s="18" t="inlineStr">
        <is>
          <t>1. Click "New Order".
2. Select customer, set description, target weight, target purity.
3. Save.</t>
        </is>
      </c>
      <c r="G36" s="18" t="inlineStr">
        <is>
          <t>Cust: TIKVAH
Desc: 18K Bangles
Target WT: 50.000 g
Purity: 76.0%</t>
        </is>
      </c>
      <c r="H36" s="18" t="inlineStr">
        <is>
          <t>Order created with status INPRODUCTION. Order number generated (e.g. ORD-2026-103).</t>
        </is>
      </c>
      <c r="I36" s="19" t="inlineStr">
        <is>
          <t>PENDING</t>
        </is>
      </c>
      <c r="J36" s="18" t="inlineStr"/>
    </row>
    <row r="37" ht="45" customHeight="1">
      <c r="A37" s="20" t="inlineStr">
        <is>
          <t>TC-ORD-02</t>
        </is>
      </c>
      <c r="B37" s="20" t="inlineStr">
        <is>
          <t>MOD-06</t>
        </is>
      </c>
      <c r="C37" s="21" t="inlineStr">
        <is>
          <t>Commercial Orders &amp; Production Tracking</t>
        </is>
      </c>
      <c r="D37" s="22" t="inlineStr">
        <is>
          <t>Order Status Progression</t>
        </is>
      </c>
      <c r="E37" s="22" t="inlineStr">
        <is>
          <t>Order details open</t>
        </is>
      </c>
      <c r="F37" s="22" t="inlineStr">
        <is>
          <t>1. Change status from INPRODUCTION to COMPLETED.
2. Change status to SETTLED.</t>
        </is>
      </c>
      <c r="G37" s="22" t="inlineStr">
        <is>
          <t>Status dropdown</t>
        </is>
      </c>
      <c r="H37" s="22" t="inlineStr">
        <is>
          <t>Status badge updates, audit log records status change event.</t>
        </is>
      </c>
      <c r="I37" s="23" t="inlineStr">
        <is>
          <t>PENDING</t>
        </is>
      </c>
      <c r="J37" s="22" t="inlineStr"/>
    </row>
    <row r="38" ht="45" customHeight="1">
      <c r="A38" s="16" t="inlineStr">
        <is>
          <t>TC-ORD-03</t>
        </is>
      </c>
      <c r="B38" s="16" t="inlineStr">
        <is>
          <t>MOD-06</t>
        </is>
      </c>
      <c r="C38" s="17" t="inlineStr">
        <is>
          <t>Commercial Orders &amp; Production Tracking</t>
        </is>
      </c>
      <c r="D38" s="18" t="inlineStr">
        <is>
          <t>Order Search &amp; Filter</t>
        </is>
      </c>
      <c r="E38" s="18" t="inlineStr">
        <is>
          <t>Orders view open</t>
        </is>
      </c>
      <c r="F38" s="18" t="inlineStr">
        <is>
          <t>1. Search by Order Number or ERP reference.
2. Filter by status (COMPLETED).</t>
        </is>
      </c>
      <c r="G38" s="18" t="inlineStr">
        <is>
          <t>Query: ORD-2026-</t>
        </is>
      </c>
      <c r="H38" s="18" t="inlineStr">
        <is>
          <t>Orders table filters to show matching records accurately.</t>
        </is>
      </c>
      <c r="I38" s="19" t="inlineStr">
        <is>
          <t>PENDING</t>
        </is>
      </c>
      <c r="J38" s="18" t="inlineStr"/>
    </row>
    <row r="39" ht="45" customHeight="1">
      <c r="A39" s="20" t="inlineStr">
        <is>
          <t>TC-ORD-04</t>
        </is>
      </c>
      <c r="B39" s="20" t="inlineStr">
        <is>
          <t>MOD-06</t>
        </is>
      </c>
      <c r="C39" s="21" t="inlineStr">
        <is>
          <t>Commercial Orders &amp; Production Tracking</t>
        </is>
      </c>
      <c r="D39" s="22" t="inlineStr">
        <is>
          <t>Order Details View &amp; Metadata</t>
        </is>
      </c>
      <c r="E39" s="22" t="inlineStr">
        <is>
          <t>Orders view open</t>
        </is>
      </c>
      <c r="F39" s="22" t="inlineStr">
        <is>
          <t>1. Click on an order row.</t>
        </is>
      </c>
      <c r="G39" s="22" t="inlineStr">
        <is>
          <t>Order ID</t>
        </is>
      </c>
      <c r="H39" s="22" t="inlineStr">
        <is>
          <t>Details screen displays customer KYC, target weight, purity, delivery deadline, and linked transactions.</t>
        </is>
      </c>
      <c r="I39" s="23" t="inlineStr">
        <is>
          <t>PENDING</t>
        </is>
      </c>
      <c r="J39" s="22" t="inlineStr"/>
    </row>
    <row r="40" ht="45" customHeight="1">
      <c r="A40" s="16" t="inlineStr">
        <is>
          <t>TC-ORD-05</t>
        </is>
      </c>
      <c r="B40" s="16" t="inlineStr">
        <is>
          <t>MOD-06</t>
        </is>
      </c>
      <c r="C40" s="17" t="inlineStr">
        <is>
          <t>Commercial Orders &amp; Production Tracking</t>
        </is>
      </c>
      <c r="D40" s="18" t="inlineStr">
        <is>
          <t>Order Linkage in New Estimate</t>
        </is>
      </c>
      <c r="E40" s="18" t="inlineStr">
        <is>
          <t>New Estimate view</t>
        </is>
      </c>
      <c r="F40" s="18" t="inlineStr">
        <is>
          <t>1. Open New Estimate.
2. Select Order from the "Linked Order" dropdown.</t>
        </is>
      </c>
      <c r="G40" s="18" t="inlineStr">
        <is>
          <t>Order: ORD-2026-101</t>
        </is>
      </c>
      <c r="H40" s="18" t="inlineStr">
        <is>
          <t>Customer and order reference pre-fill into the estimate cost sheet automatically.</t>
        </is>
      </c>
      <c r="I40" s="19" t="inlineStr">
        <is>
          <t>PENDING</t>
        </is>
      </c>
      <c r="J40" s="18" t="inlineStr"/>
    </row>
    <row r="41" ht="45" customHeight="1">
      <c r="A41" s="20" t="inlineStr">
        <is>
          <t>TC-ORD-06</t>
        </is>
      </c>
      <c r="B41" s="20" t="inlineStr">
        <is>
          <t>MOD-06</t>
        </is>
      </c>
      <c r="C41" s="21" t="inlineStr">
        <is>
          <t>Commercial Orders &amp; Production Tracking</t>
        </is>
      </c>
      <c r="D41" s="22" t="inlineStr">
        <is>
          <t>Cancelled Order Workflow</t>
        </is>
      </c>
      <c r="E41" s="22" t="inlineStr">
        <is>
          <t>Order details open</t>
        </is>
      </c>
      <c r="F41" s="22" t="inlineStr">
        <is>
          <t>1. Set status to CANCELLED.
2. Verify appearance in orders list.</t>
        </is>
      </c>
      <c r="G41" s="22" t="inlineStr">
        <is>
          <t>Status: CANCELLED</t>
        </is>
      </c>
      <c r="H41" s="22" t="inlineStr">
        <is>
          <t>Order shows gray/red cancelled badge and is excluded from active open order KPI metrics.</t>
        </is>
      </c>
      <c r="I41" s="23" t="inlineStr">
        <is>
          <t>PENDING</t>
        </is>
      </c>
      <c r="J41" s="22" t="inlineStr"/>
    </row>
    <row r="42" ht="45" customHeight="1">
      <c r="A42" s="16" t="inlineStr">
        <is>
          <t>TC-TX-01</t>
        </is>
      </c>
      <c r="B42" s="16" t="inlineStr">
        <is>
          <t>MOD-07</t>
        </is>
      </c>
      <c r="C42" s="17" t="inlineStr">
        <is>
          <t>Dual-Ledger Transaction Management</t>
        </is>
      </c>
      <c r="D42" s="18" t="inlineStr">
        <is>
          <t>Record Gold Issue Transaction</t>
        </is>
      </c>
      <c r="E42" s="18" t="inlineStr">
        <is>
          <t>New Transaction view</t>
        </is>
      </c>
      <c r="F42" s="18" t="inlineStr">
        <is>
          <t>1. Select Customer, Direction ISSUE, Particulars SALE.
2. Gross: 20.000g, Stone: 2.000g, Touch: 91.6%.
3. Save.</t>
        </is>
      </c>
      <c r="G42" s="18" t="inlineStr">
        <is>
          <t>Gross: 20.000
Stone: 2.000
Touch: 91.6</t>
        </is>
      </c>
      <c r="H42" s="18" t="inlineStr">
        <is>
          <t>Net WT = +18.000 g, Pure WT = +16.488 g. Customer currentWT increases by 16.488 g.</t>
        </is>
      </c>
      <c r="I42" s="19" t="inlineStr">
        <is>
          <t>PENDING</t>
        </is>
      </c>
      <c r="J42" s="18" t="inlineStr"/>
    </row>
    <row r="43" ht="45" customHeight="1">
      <c r="A43" s="20" t="inlineStr">
        <is>
          <t>TC-TX-02</t>
        </is>
      </c>
      <c r="B43" s="20" t="inlineStr">
        <is>
          <t>MOD-07</t>
        </is>
      </c>
      <c r="C43" s="21" t="inlineStr">
        <is>
          <t>Dual-Ledger Transaction Management</t>
        </is>
      </c>
      <c r="D43" s="22" t="inlineStr">
        <is>
          <t>Record Gold Receipt Transaction</t>
        </is>
      </c>
      <c r="E43" s="22" t="inlineStr">
        <is>
          <t>New Transaction view</t>
        </is>
      </c>
      <c r="F43" s="22" t="inlineStr">
        <is>
          <t>1. Select Direction RECEIPT, Particulars PURCHASE.
2. Gross: 10.000g, Stone: 0g, Touch: 99.5%.
3. Save.</t>
        </is>
      </c>
      <c r="G43" s="22" t="inlineStr">
        <is>
          <t>Gross: 10.000
Stone: 0
Touch: 99.5</t>
        </is>
      </c>
      <c r="H43" s="22" t="inlineStr">
        <is>
          <t>Net WT = -10.000 g, Pure WT = -9.950 g. Customer currentWT decreases by 9.950 g.</t>
        </is>
      </c>
      <c r="I43" s="23" t="inlineStr">
        <is>
          <t>PENDING</t>
        </is>
      </c>
      <c r="J43" s="22" t="inlineStr"/>
    </row>
    <row r="44" ht="45" customHeight="1">
      <c r="A44" s="16" t="inlineStr">
        <is>
          <t>TC-TX-03</t>
        </is>
      </c>
      <c r="B44" s="16" t="inlineStr">
        <is>
          <t>MOD-07</t>
        </is>
      </c>
      <c r="C44" s="17" t="inlineStr">
        <is>
          <t>Dual-Ledger Transaction Management</t>
        </is>
      </c>
      <c r="D44" s="18" t="inlineStr">
        <is>
          <t>Carats to Grams Conversion in Line Item</t>
        </is>
      </c>
      <c r="E44" s="18" t="inlineStr">
        <is>
          <t>New Transaction view</t>
        </is>
      </c>
      <c r="F44" s="18" t="inlineStr">
        <is>
          <t>1. Enter Stone Weight in Carats: 5.000 ct.
2. Check Stone Weight in Grams field.</t>
        </is>
      </c>
      <c r="G44" s="18" t="inlineStr">
        <is>
          <t>Carats: 5.000 ct</t>
        </is>
      </c>
      <c r="H44" s="18" t="inlineStr">
        <is>
          <t>Automatically converts to 1.000 g ($5.000 \times 0.200$). Net weight subtracts 1.000 g.</t>
        </is>
      </c>
      <c r="I44" s="19" t="inlineStr">
        <is>
          <t>PENDING</t>
        </is>
      </c>
      <c r="J44" s="18" t="inlineStr"/>
    </row>
    <row r="45" ht="45" customHeight="1">
      <c r="A45" s="20" t="inlineStr">
        <is>
          <t>TC-TX-04</t>
        </is>
      </c>
      <c r="B45" s="20" t="inlineStr">
        <is>
          <t>MOD-07</t>
        </is>
      </c>
      <c r="C45" s="21" t="inlineStr">
        <is>
          <t>Dual-Ledger Transaction Management</t>
        </is>
      </c>
      <c r="D45" s="22" t="inlineStr">
        <is>
          <t>Making Charge (MC) Rate per Gram Calculation</t>
        </is>
      </c>
      <c r="E45" s="22" t="inlineStr">
        <is>
          <t>New Transaction view</t>
        </is>
      </c>
      <c r="F45" s="22" t="inlineStr">
        <is>
          <t>1. Enter Net WT: 15.000 g.
2. Enter MC Rate: ₹ 450.00/g.</t>
        </is>
      </c>
      <c r="G45" s="22" t="inlineStr">
        <is>
          <t>Net: 15.000 g
Rate: 450</t>
        </is>
      </c>
      <c r="H45" s="22" t="inlineStr">
        <is>
          <t>MC Amount = $15.000 \times 450 = ₹ 6,750.00$. Signs apply according to direction.</t>
        </is>
      </c>
      <c r="I45" s="23" t="inlineStr">
        <is>
          <t>PENDING</t>
        </is>
      </c>
      <c r="J45" s="22" t="inlineStr"/>
    </row>
    <row r="46" ht="45" customHeight="1">
      <c r="A46" s="16" t="inlineStr">
        <is>
          <t>TC-TX-05</t>
        </is>
      </c>
      <c r="B46" s="16" t="inlineStr">
        <is>
          <t>MOD-07</t>
        </is>
      </c>
      <c r="C46" s="17" t="inlineStr">
        <is>
          <t>Dual-Ledger Transaction Management</t>
        </is>
      </c>
      <c r="D46" s="18" t="inlineStr">
        <is>
          <t>Multi-Line Transaction Entry</t>
        </is>
      </c>
      <c r="E46" s="18" t="inlineStr">
        <is>
          <t>New Transaction view</t>
        </is>
      </c>
      <c r="F46" s="18" t="inlineStr">
        <is>
          <t>1. Click "Add Another Item" to create 3 line items.
2. Fill each line.
3. Submit batch.</t>
        </is>
      </c>
      <c r="G46" s="18" t="inlineStr">
        <is>
          <t>3 line items</t>
        </is>
      </c>
      <c r="H46" s="18" t="inlineStr">
        <is>
          <t>All 3 lines are created in the ledger, with chronological running balances correctly chained.</t>
        </is>
      </c>
      <c r="I46" s="19" t="inlineStr">
        <is>
          <t>PENDING</t>
        </is>
      </c>
      <c r="J46" s="18" t="inlineStr"/>
    </row>
    <row r="47" ht="45" customHeight="1">
      <c r="A47" s="20" t="inlineStr">
        <is>
          <t>TC-TX-06</t>
        </is>
      </c>
      <c r="B47" s="20" t="inlineStr">
        <is>
          <t>MOD-07</t>
        </is>
      </c>
      <c r="C47" s="21" t="inlineStr">
        <is>
          <t>Dual-Ledger Transaction Management</t>
        </is>
      </c>
      <c r="D47" s="22" t="inlineStr">
        <is>
          <t>Ledger View Multi-Column Filters</t>
        </is>
      </c>
      <c r="E47" s="22" t="inlineStr">
        <is>
          <t>Ledger view open</t>
        </is>
      </c>
      <c r="F47" s="22" t="inlineStr">
        <is>
          <t>1. Filter by Customer: TIKVAH.
2. Filter by Direction: RECEIPT.
3. Filter by Particulars: PURCHASE.</t>
        </is>
      </c>
      <c r="G47" s="22" t="inlineStr">
        <is>
          <t>Filter combination</t>
        </is>
      </c>
      <c r="H47" s="22" t="inlineStr">
        <is>
          <t>Table displays only records matching all active filter criteria. Clear button resets all.</t>
        </is>
      </c>
      <c r="I47" s="23" t="inlineStr">
        <is>
          <t>PENDING</t>
        </is>
      </c>
      <c r="J47" s="22" t="inlineStr"/>
    </row>
    <row r="48" ht="45" customHeight="1">
      <c r="A48" s="16" t="inlineStr">
        <is>
          <t>TC-TX-07</t>
        </is>
      </c>
      <c r="B48" s="16" t="inlineStr">
        <is>
          <t>MOD-07</t>
        </is>
      </c>
      <c r="C48" s="17" t="inlineStr">
        <is>
          <t>Dual-Ledger Transaction Management</t>
        </is>
      </c>
      <c r="D48" s="18" t="inlineStr">
        <is>
          <t>Ledger Batch Selection &amp; Counter</t>
        </is>
      </c>
      <c r="E48" s="18" t="inlineStr">
        <is>
          <t>Ledger view open</t>
        </is>
      </c>
      <c r="F48" s="18" t="inlineStr">
        <is>
          <t>1. Click checkboxes on 4 transaction rows.
2. Check header selection count.</t>
        </is>
      </c>
      <c r="G48" s="18" t="inlineStr">
        <is>
          <t>4 rows selected</t>
        </is>
      </c>
      <c r="H48" s="18" t="inlineStr">
        <is>
          <t>Header shows "4 transactions selected" with total selected Net WT and Total MC summarized.</t>
        </is>
      </c>
      <c r="I48" s="19" t="inlineStr">
        <is>
          <t>PENDING</t>
        </is>
      </c>
      <c r="J48" s="18" t="inlineStr"/>
    </row>
    <row r="49" ht="45" customHeight="1">
      <c r="A49" s="20" t="inlineStr">
        <is>
          <t>TC-PAY-01</t>
        </is>
      </c>
      <c r="B49" s="20" t="inlineStr">
        <is>
          <t>MOD-08</t>
        </is>
      </c>
      <c r="C49" s="21" t="inlineStr">
        <is>
          <t>Quick Payment &amp; Receipt Voucher Modal</t>
        </is>
      </c>
      <c r="D49" s="22" t="inlineStr">
        <is>
          <t>Open Quick Payment Modal</t>
        </is>
      </c>
      <c r="E49" s="22" t="inlineStr">
        <is>
          <t>Any view</t>
        </is>
      </c>
      <c r="F49" s="22" t="inlineStr">
        <is>
          <t>1. Click "New Transaction" pill in header.
2. Select "Payment (Gold &amp; Cash)".</t>
        </is>
      </c>
      <c r="G49" s="22" t="inlineStr">
        <is>
          <t>N/A</t>
        </is>
      </c>
      <c r="H49" s="22" t="inlineStr">
        <is>
          <t>Modal opens with customer selector, voucher type tabs (RECEIPT / PAYMENT), and date.</t>
        </is>
      </c>
      <c r="I49" s="23" t="inlineStr">
        <is>
          <t>PENDING</t>
        </is>
      </c>
      <c r="J49" s="22" t="inlineStr"/>
    </row>
    <row r="50" ht="45" customHeight="1">
      <c r="A50" s="16" t="inlineStr">
        <is>
          <t>TC-PAY-02</t>
        </is>
      </c>
      <c r="B50" s="16" t="inlineStr">
        <is>
          <t>MOD-08</t>
        </is>
      </c>
      <c r="C50" s="17" t="inlineStr">
        <is>
          <t>Quick Payment &amp; Receipt Voucher Modal</t>
        </is>
      </c>
      <c r="D50" s="18" t="inlineStr">
        <is>
          <t>Customer Gold Receipt Voucher</t>
        </is>
      </c>
      <c r="E50" s="18" t="inlineStr">
        <is>
          <t>Modal open</t>
        </is>
      </c>
      <c r="F50" s="18" t="inlineStr">
        <is>
          <t>1. Type: RECEIPT.
2. Gold Weight: 25.000 g, Touch: 99.50%.
3. Leave cash blank.
4. Submit.</t>
        </is>
      </c>
      <c r="G50" s="18" t="inlineStr">
        <is>
          <t>Gold: 25.000
Touch: 99.50</t>
        </is>
      </c>
      <c r="H50" s="18" t="inlineStr">
        <is>
          <t>Pure WT = 24.875 g. Customer currentWT liability decreases by 24.875 g. Cash unchanged.</t>
        </is>
      </c>
      <c r="I50" s="19" t="inlineStr">
        <is>
          <t>PENDING</t>
        </is>
      </c>
      <c r="J50" s="18" t="inlineStr"/>
    </row>
    <row r="51" ht="45" customHeight="1">
      <c r="A51" s="20" t="inlineStr">
        <is>
          <t>TC-PAY-03</t>
        </is>
      </c>
      <c r="B51" s="20" t="inlineStr">
        <is>
          <t>MOD-08</t>
        </is>
      </c>
      <c r="C51" s="21" t="inlineStr">
        <is>
          <t>Quick Payment &amp; Receipt Voucher Modal</t>
        </is>
      </c>
      <c r="D51" s="22" t="inlineStr">
        <is>
          <t>Customer Cash Receipt Voucher</t>
        </is>
      </c>
      <c r="E51" s="22" t="inlineStr">
        <is>
          <t>Modal open</t>
        </is>
      </c>
      <c r="F51" s="22" t="inlineStr">
        <is>
          <t>1. Type: RECEIPT.
2. Cash Amount: ₹ 50,000.00.
3. Leave gold blank.
4. Submit.</t>
        </is>
      </c>
      <c r="G51" s="22" t="inlineStr">
        <is>
          <t>Cash: 50000.00</t>
        </is>
      </c>
      <c r="H51" s="22" t="inlineStr">
        <is>
          <t>Customer currentMC liability decreases by ₹ 50,000.00. Pure gold unchanged.</t>
        </is>
      </c>
      <c r="I51" s="23" t="inlineStr">
        <is>
          <t>PENDING</t>
        </is>
      </c>
      <c r="J51" s="22" t="inlineStr"/>
    </row>
    <row r="52" ht="45" customHeight="1">
      <c r="A52" s="16" t="inlineStr">
        <is>
          <t>TC-PAY-04</t>
        </is>
      </c>
      <c r="B52" s="16" t="inlineStr">
        <is>
          <t>MOD-08</t>
        </is>
      </c>
      <c r="C52" s="17" t="inlineStr">
        <is>
          <t>Quick Payment &amp; Receipt Voucher Modal</t>
        </is>
      </c>
      <c r="D52" s="18" t="inlineStr">
        <is>
          <t>Dual Gold + Cash Receipt Voucher</t>
        </is>
      </c>
      <c r="E52" s="18" t="inlineStr">
        <is>
          <t>Modal open</t>
        </is>
      </c>
      <c r="F52" s="18" t="inlineStr">
        <is>
          <t>1. Type: RECEIPT.
2. Gold: 10.000 g (99.5%), Cash: ₹ 25,000.00.
3. Submit.</t>
        </is>
      </c>
      <c r="G52" s="18" t="inlineStr">
        <is>
          <t>Gold: 10.000 g
Cash: 25000.00</t>
        </is>
      </c>
      <c r="H52" s="18" t="inlineStr">
        <is>
          <t>Pure WT decreases by 9.950 g, and cash liability decreases by ₹ 25,000.00 simultaneously.</t>
        </is>
      </c>
      <c r="I52" s="19" t="inlineStr">
        <is>
          <t>PENDING</t>
        </is>
      </c>
      <c r="J52" s="18" t="inlineStr"/>
    </row>
    <row r="53" ht="45" customHeight="1">
      <c r="A53" s="20" t="inlineStr">
        <is>
          <t>TC-PAY-05</t>
        </is>
      </c>
      <c r="B53" s="20" t="inlineStr">
        <is>
          <t>MOD-08</t>
        </is>
      </c>
      <c r="C53" s="21" t="inlineStr">
        <is>
          <t>Quick Payment &amp; Receipt Voucher Modal</t>
        </is>
      </c>
      <c r="D53" s="22" t="inlineStr">
        <is>
          <t>Payment (Issue) Voucher to Customer</t>
        </is>
      </c>
      <c r="E53" s="22" t="inlineStr">
        <is>
          <t>Modal open</t>
        </is>
      </c>
      <c r="F53" s="22" t="inlineStr">
        <is>
          <t>1. Select PAYMENT (Issue out).
2. Cash: ₹ 15,000.00.
3. Submit.</t>
        </is>
      </c>
      <c r="G53" s="22" t="inlineStr">
        <is>
          <t>Cash: 15000.00</t>
        </is>
      </c>
      <c r="H53" s="22" t="inlineStr">
        <is>
          <t>Customer liability increases by ₹ 15,000.00 (or advance deposit reduces by ₹ 15,000.00).</t>
        </is>
      </c>
      <c r="I53" s="23" t="inlineStr">
        <is>
          <t>PENDING</t>
        </is>
      </c>
      <c r="J53" s="22" t="inlineStr"/>
    </row>
    <row r="54" ht="45" customHeight="1">
      <c r="A54" s="16" t="inlineStr">
        <is>
          <t>TC-PAY-06</t>
        </is>
      </c>
      <c r="B54" s="16" t="inlineStr">
        <is>
          <t>MOD-08</t>
        </is>
      </c>
      <c r="C54" s="17" t="inlineStr">
        <is>
          <t>Quick Payment &amp; Receipt Voucher Modal</t>
        </is>
      </c>
      <c r="D54" s="18" t="inlineStr">
        <is>
          <t>Modal Escape Key Dismissal</t>
        </is>
      </c>
      <c r="E54" s="18" t="inlineStr">
        <is>
          <t>Modal open</t>
        </is>
      </c>
      <c r="F54" s="18" t="inlineStr">
        <is>
          <t>1. Press Escape key on keyboard.</t>
        </is>
      </c>
      <c r="G54" s="18" t="inlineStr">
        <is>
          <t>Key: Escape</t>
        </is>
      </c>
      <c r="H54" s="18" t="inlineStr">
        <is>
          <t>Modal closes immediately without saving or altering ledger data.</t>
        </is>
      </c>
      <c r="I54" s="19" t="inlineStr">
        <is>
          <t>PENDING</t>
        </is>
      </c>
      <c r="J54" s="18" t="inlineStr"/>
    </row>
    <row r="55" ht="45" customHeight="1">
      <c r="A55" s="20" t="inlineStr">
        <is>
          <t>TC-EST-01</t>
        </is>
      </c>
      <c r="B55" s="20" t="inlineStr">
        <is>
          <t>MOD-09</t>
        </is>
      </c>
      <c r="C55" s="21" t="inlineStr">
        <is>
          <t>Estimate Cost Sheet Calculation Engine</t>
        </is>
      </c>
      <c r="D55" s="22" t="inlineStr">
        <is>
          <t>Single Line Item Plain Gold Jewellery</t>
        </is>
      </c>
      <c r="E55" s="22" t="inlineStr">
        <is>
          <t>New Estimate open</t>
        </is>
      </c>
      <c r="F55" s="22" t="inlineStr">
        <is>
          <t>1. Gold Rate: ₹ 7,200.00.
2. Item: 22K Ring, Gross: 10.000g, Stone: 0, Touch: 91.6%.
3. Rate Unit: PERG.</t>
        </is>
      </c>
      <c r="G55" s="22" t="inlineStr">
        <is>
          <t>Gross: 10.000
Touch: 91.6
Rate: 7200</t>
        </is>
      </c>
      <c r="H55" s="22" t="inlineStr">
        <is>
          <t>Net WT = 10.000 g, Pure WT = 9.160 g. Amount = $9.160 \times 7200 = ₹ 65,952.00$.</t>
        </is>
      </c>
      <c r="I55" s="23" t="inlineStr">
        <is>
          <t>PENDING</t>
        </is>
      </c>
      <c r="J55" s="22" t="inlineStr"/>
    </row>
    <row r="56" ht="45" customHeight="1">
      <c r="A56" s="16" t="inlineStr">
        <is>
          <t>TC-EST-02</t>
        </is>
      </c>
      <c r="B56" s="16" t="inlineStr">
        <is>
          <t>MOD-09</t>
        </is>
      </c>
      <c r="C56" s="17" t="inlineStr">
        <is>
          <t>Estimate Cost Sheet Calculation Engine</t>
        </is>
      </c>
      <c r="D56" s="18" t="inlineStr">
        <is>
          <t>Gemstone Carats Calculation in Line Item</t>
        </is>
      </c>
      <c r="E56" s="18" t="inlineStr">
        <is>
          <t>New Estimate open</t>
        </is>
      </c>
      <c r="F56" s="18" t="inlineStr">
        <is>
          <t>1. Gross: 15.000g, Stone WT: 4.500 ct, Unit: ct.
2. Rate: ₹ 2,000.00/ct.</t>
        </is>
      </c>
      <c r="G56" s="18" t="inlineStr">
        <is>
          <t>Stone: 4.500 ct
Rate: 2000</t>
        </is>
      </c>
      <c r="H56" s="18" t="inlineStr">
        <is>
          <t>Stone Grams = $4.500 \times 0.200 = 0.900 \text{ g}$. Net WT = 14.100 g. Amount = $4.500 \times 2000 = ₹ 9,000.00$.</t>
        </is>
      </c>
      <c r="I56" s="19" t="inlineStr">
        <is>
          <t>PENDING</t>
        </is>
      </c>
      <c r="J56" s="18" t="inlineStr"/>
    </row>
    <row r="57" ht="45" customHeight="1">
      <c r="A57" s="20" t="inlineStr">
        <is>
          <t>TC-EST-03</t>
        </is>
      </c>
      <c r="B57" s="20" t="inlineStr">
        <is>
          <t>MOD-09</t>
        </is>
      </c>
      <c r="C57" s="21" t="inlineStr">
        <is>
          <t>Estimate Cost Sheet Calculation Engine</t>
        </is>
      </c>
      <c r="D57" s="22" t="inlineStr">
        <is>
          <t>Composite Jewellery with Child Sub-Items</t>
        </is>
      </c>
      <c r="E57" s="22" t="inlineStr">
        <is>
          <t>New Estimate open</t>
        </is>
      </c>
      <c r="F57" s="22" t="inlineStr">
        <is>
          <t>1. Line: Diamond Bangle.
2. Sub-Item 1: Gold Casting 18K (12g, 76% touch).
3. Sub-Item 2: Diamonds (2.50 ct at ₹ 45,000/ct).
4. Sub-Item 3: Making Charges (12g at ₹ 600/g).</t>
        </is>
      </c>
      <c r="G57" s="22" t="inlineStr">
        <is>
          <t>Composite inputs</t>
        </is>
      </c>
      <c r="H57" s="22" t="inlineStr">
        <is>
          <t>Sub-items total rollup correctly into parent line amount. Stone weight automatically deducted from net gold.</t>
        </is>
      </c>
      <c r="I57" s="23" t="inlineStr">
        <is>
          <t>PENDING</t>
        </is>
      </c>
      <c r="J57" s="22" t="inlineStr"/>
    </row>
    <row r="58" ht="45" customHeight="1">
      <c r="A58" s="16" t="inlineStr">
        <is>
          <t>TC-EST-04</t>
        </is>
      </c>
      <c r="B58" s="16" t="inlineStr">
        <is>
          <t>MOD-09</t>
        </is>
      </c>
      <c r="C58" s="17" t="inlineStr">
        <is>
          <t>Estimate Cost Sheet Calculation Engine</t>
        </is>
      </c>
      <c r="D58" s="18" t="inlineStr">
        <is>
          <t>Master Defaults Propagation to Lines</t>
        </is>
      </c>
      <c r="E58" s="18" t="inlineStr">
        <is>
          <t>New Estimate open</t>
        </is>
      </c>
      <c r="F58" s="18" t="inlineStr">
        <is>
          <t>1. Set Master Diamond Rate: ₹ 40,000/ct.
2. Set Master MC Rate: ₹ 550/g.
3. Add Diamond sub-item.</t>
        </is>
      </c>
      <c r="G58" s="18" t="inlineStr">
        <is>
          <t>Master rates set</t>
        </is>
      </c>
      <c r="H58" s="18" t="inlineStr">
        <is>
          <t>Newly added Diamond sub-item automatically defaults to ₹ 40,000/ct without manual entry.</t>
        </is>
      </c>
      <c r="I58" s="19" t="inlineStr">
        <is>
          <t>PENDING</t>
        </is>
      </c>
      <c r="J58" s="18" t="inlineStr"/>
    </row>
    <row r="59" ht="45" customHeight="1">
      <c r="A59" s="20" t="inlineStr">
        <is>
          <t>TC-EST-05</t>
        </is>
      </c>
      <c r="B59" s="20" t="inlineStr">
        <is>
          <t>MOD-09</t>
        </is>
      </c>
      <c r="C59" s="21" t="inlineStr">
        <is>
          <t>Estimate Cost Sheet Calculation Engine</t>
        </is>
      </c>
      <c r="D59" s="22" t="inlineStr">
        <is>
          <t>Additional Expenses Inclusion</t>
        </is>
      </c>
      <c r="E59" s="22" t="inlineStr">
        <is>
          <t>New Estimate open</t>
        </is>
      </c>
      <c r="F59" s="22" t="inlineStr">
        <is>
          <t>1. Enter HUID Charges: ₹ 180.00.
2. Enter Courier Charges: ₹ 750.00.
3. Check Taxable Value.</t>
        </is>
      </c>
      <c r="G59" s="22" t="inlineStr">
        <is>
          <t>HUID: 180
Courier: 750</t>
        </is>
      </c>
      <c r="H59" s="22" t="inlineStr">
        <is>
          <t>Total Expenses = ₹ 930.00. Taxable Value increases by exact ₹ 930.00.</t>
        </is>
      </c>
      <c r="I59" s="23" t="inlineStr">
        <is>
          <t>PENDING</t>
        </is>
      </c>
      <c r="J59" s="22" t="inlineStr"/>
    </row>
    <row r="60" ht="45" customHeight="1">
      <c r="A60" s="16" t="inlineStr">
        <is>
          <t>TC-EST-06</t>
        </is>
      </c>
      <c r="B60" s="16" t="inlineStr">
        <is>
          <t>MOD-09</t>
        </is>
      </c>
      <c r="C60" s="17" t="inlineStr">
        <is>
          <t>Estimate Cost Sheet Calculation Engine</t>
        </is>
      </c>
      <c r="D60" s="18" t="inlineStr">
        <is>
          <t>3.0% Jewellery GST Calculation</t>
        </is>
      </c>
      <c r="E60" s="18" t="inlineStr">
        <is>
          <t>New Estimate open</t>
        </is>
      </c>
      <c r="F60" s="18" t="inlineStr">
        <is>
          <t>1. Taxable Value: ₹ 1,00,000.00.
2. Check GST Amount.
3. Check Grand Total.</t>
        </is>
      </c>
      <c r="G60" s="18" t="inlineStr">
        <is>
          <t>Taxable: 100000.00</t>
        </is>
      </c>
      <c r="H60" s="18" t="inlineStr">
        <is>
          <t>GST Amount (3%) = ₹ 3,000.00. Grand Total = ₹ 1,03,000.00.</t>
        </is>
      </c>
      <c r="I60" s="19" t="inlineStr">
        <is>
          <t>PENDING</t>
        </is>
      </c>
      <c r="J60" s="18" t="inlineStr"/>
    </row>
    <row r="61" ht="45" customHeight="1">
      <c r="A61" s="20" t="inlineStr">
        <is>
          <t>TC-EST-07</t>
        </is>
      </c>
      <c r="B61" s="20" t="inlineStr">
        <is>
          <t>MOD-09</t>
        </is>
      </c>
      <c r="C61" s="21" t="inlineStr">
        <is>
          <t>Estimate Cost Sheet Calculation Engine</t>
        </is>
      </c>
      <c r="D61" s="22" t="inlineStr">
        <is>
          <t>Component-Level GST Split Verification</t>
        </is>
      </c>
      <c r="E61" s="22" t="inlineStr">
        <is>
          <t>New Estimate open</t>
        </is>
      </c>
      <c r="F61" s="22" t="inlineStr">
        <is>
          <t>1. Gold Value: ₹ 80,000.00.
2. Non-Gold (MC + Diamonds): ₹ 20,000.00.
3. Total GST: ₹ 3,000.00.</t>
        </is>
      </c>
      <c r="G61" s="22" t="inlineStr">
        <is>
          <t>Values entered</t>
        </is>
      </c>
      <c r="H61" s="22" t="inlineStr">
        <is>
          <t>Gold GST = $80,000 \times 0.03 = ₹ 2,400.00$. Non-Gold GST = $20,000 \times 0.03 = ₹ 600.00$. Total = ₹ 3,000.00.</t>
        </is>
      </c>
      <c r="I61" s="23" t="inlineStr">
        <is>
          <t>PENDING</t>
        </is>
      </c>
      <c r="J61" s="22" t="inlineStr"/>
    </row>
    <row r="62" ht="45" customHeight="1">
      <c r="A62" s="16" t="inlineStr">
        <is>
          <t>TC-EST-08</t>
        </is>
      </c>
      <c r="B62" s="16" t="inlineStr">
        <is>
          <t>MOD-09</t>
        </is>
      </c>
      <c r="C62" s="17" t="inlineStr">
        <is>
          <t>Estimate Cost Sheet Calculation Engine</t>
        </is>
      </c>
      <c r="D62" s="18" t="inlineStr">
        <is>
          <t>Purchase Transaction Type (Old Gold Receipt)</t>
        </is>
      </c>
      <c r="E62" s="18" t="inlineStr">
        <is>
          <t>New Estimate open</t>
        </is>
      </c>
      <c r="F62" s="18" t="inlineStr">
        <is>
          <t>1. Select Transaction Type: PURCHASE (Receipt).
2. Gross: 50.000g, Touch: 76%.</t>
        </is>
      </c>
      <c r="G62" s="18" t="inlineStr">
        <is>
          <t>Type: PURCHASE</t>
        </is>
      </c>
      <c r="H62" s="18" t="inlineStr">
        <is>
          <t>Direction sets to RECEIPT (multiplier -1). Delta values show negative liability to customer.</t>
        </is>
      </c>
      <c r="I62" s="19" t="inlineStr">
        <is>
          <t>PENDING</t>
        </is>
      </c>
      <c r="J62" s="18" t="inlineStr"/>
    </row>
    <row r="63" ht="45" customHeight="1">
      <c r="A63" s="20" t="inlineStr">
        <is>
          <t>TC-PRE-01</t>
        </is>
      </c>
      <c r="B63" s="20" t="inlineStr">
        <is>
          <t>MOD-10</t>
        </is>
      </c>
      <c r="C63" s="21" t="inlineStr">
        <is>
          <t>Estimate Settlement Presets Engine</t>
        </is>
      </c>
      <c r="D63" s="22" t="inlineStr">
        <is>
          <t>Preset: FIX (100% Cash Settlement)</t>
        </is>
      </c>
      <c r="E63" s="22" t="inlineStr">
        <is>
          <t>Estimate sheet open</t>
        </is>
      </c>
      <c r="F63" s="22" t="inlineStr">
        <is>
          <t>1. Select Preset: FIX.
2. Inspect Settlement Preview.</t>
        </is>
      </c>
      <c r="G63" s="22" t="inlineStr">
        <is>
          <t>Grand Total: ₹ 1,54,500.00
Pure WT: 18.320 g</t>
        </is>
      </c>
      <c r="H63" s="22" t="inlineStr">
        <is>
          <t>Settled Gold WT = 0.000 g. Settled Cash Amount = ₹ 1,54,500.00 (100% of bill in cash).</t>
        </is>
      </c>
      <c r="I63" s="23" t="inlineStr">
        <is>
          <t>PENDING</t>
        </is>
      </c>
      <c r="J63" s="22" t="inlineStr"/>
    </row>
    <row r="64" ht="45" customHeight="1">
      <c r="A64" s="16" t="inlineStr">
        <is>
          <t>TC-PRE-02</t>
        </is>
      </c>
      <c r="B64" s="16" t="inlineStr">
        <is>
          <t>MOD-10</t>
        </is>
      </c>
      <c r="C64" s="17" t="inlineStr">
        <is>
          <t>Estimate Settlement Presets Engine</t>
        </is>
      </c>
      <c r="D64" s="18" t="inlineStr">
        <is>
          <t>Preset: B2BWITHOUTMC (Standard Wholesale)</t>
        </is>
      </c>
      <c r="E64" s="18" t="inlineStr">
        <is>
          <t>Estimate sheet open</t>
        </is>
      </c>
      <c r="F64" s="18" t="inlineStr">
        <is>
          <t>1. Select Preset: B2BWITHOUTMC.
2. Gold Rate: ₹ 7,000.00.
3. Gold GST: ₹ 3,500.00.
4. Pure WT: 15.000 g.</t>
        </is>
      </c>
      <c r="G64" s="18" t="inlineStr">
        <is>
          <t>Rates entered</t>
        </is>
      </c>
      <c r="H64" s="18" t="inlineStr">
        <is>
          <t>Gold GST in Gold = $3500 / 7000 = 0.500 \text{ g}$. Settled Gold = $15.000 + 0.500 = 15.500 \text{ g}$. MC &amp; Tax in Cash.</t>
        </is>
      </c>
      <c r="I64" s="19" t="inlineStr">
        <is>
          <t>PENDING</t>
        </is>
      </c>
      <c r="J64" s="18" t="inlineStr"/>
    </row>
    <row r="65" ht="45" customHeight="1">
      <c r="A65" s="20" t="inlineStr">
        <is>
          <t>TC-PRE-03</t>
        </is>
      </c>
      <c r="B65" s="20" t="inlineStr">
        <is>
          <t>MOD-10</t>
        </is>
      </c>
      <c r="C65" s="21" t="inlineStr">
        <is>
          <t>Estimate Settlement Presets Engine</t>
        </is>
      </c>
      <c r="D65" s="22" t="inlineStr">
        <is>
          <t>Preset: B2BWITHMC (Making Charges in Gold)</t>
        </is>
      </c>
      <c r="E65" s="22" t="inlineStr">
        <is>
          <t>Estimate sheet open</t>
        </is>
      </c>
      <c r="F65" s="22" t="inlineStr">
        <is>
          <t>1. Select Preset: B2BWITHMC.
2. Pure WT: 15.000g, Gold GST in Gold: 0.500g.
3. MC: ₹ 7,000.00 (Gold Rate ₹ 7,000/g).</t>
        </is>
      </c>
      <c r="G65" s="22" t="inlineStr">
        <is>
          <t>MC: 7000.00
Rate: 7000.00</t>
        </is>
      </c>
      <c r="H65" s="22" t="inlineStr">
        <is>
          <t>MC in Gold = $7000 / 7000 = 1.000 \text{ g}$. Settled Gold = $15.000 + 0.500 + 1.000 = 16.500 \text{ g}$.</t>
        </is>
      </c>
      <c r="I65" s="23" t="inlineStr">
        <is>
          <t>PENDING</t>
        </is>
      </c>
      <c r="J65" s="22" t="inlineStr"/>
    </row>
    <row r="66" ht="45" customHeight="1">
      <c r="A66" s="16" t="inlineStr">
        <is>
          <t>TC-PRE-04</t>
        </is>
      </c>
      <c r="B66" s="16" t="inlineStr">
        <is>
          <t>MOD-10</t>
        </is>
      </c>
      <c r="C66" s="17" t="inlineStr">
        <is>
          <t>Estimate Settlement Presets Engine</t>
        </is>
      </c>
      <c r="D66" s="18" t="inlineStr">
        <is>
          <t>Preset: ALLINGOLD (100% Barter Gold)</t>
        </is>
      </c>
      <c r="E66" s="18" t="inlineStr">
        <is>
          <t>Estimate sheet open</t>
        </is>
      </c>
      <c r="F66" s="18" t="inlineStr">
        <is>
          <t>1. Select Preset: ALLINGOLD.
2. Grand Total: ₹ 1,40,000.00.
3. Gold Rate: ₹ 7,000.00.</t>
        </is>
      </c>
      <c r="G66" s="18" t="inlineStr">
        <is>
          <t>Grand Total: 140000
Rate: 7000</t>
        </is>
      </c>
      <c r="H66" s="18" t="inlineStr">
        <is>
          <t>Settled Cash Amount = ₹ 0.00. Total Settled Gold = $140,000 / 7,000 = 20.000 \text{ g}$.</t>
        </is>
      </c>
      <c r="I66" s="19" t="inlineStr">
        <is>
          <t>PENDING</t>
        </is>
      </c>
      <c r="J66" s="18" t="inlineStr"/>
    </row>
    <row r="67" ht="45" customHeight="1">
      <c r="A67" s="20" t="inlineStr">
        <is>
          <t>TC-PRE-05</t>
        </is>
      </c>
      <c r="B67" s="20" t="inlineStr">
        <is>
          <t>MOD-10</t>
        </is>
      </c>
      <c r="C67" s="21" t="inlineStr">
        <is>
          <t>Estimate Settlement Presets Engine</t>
        </is>
      </c>
      <c r="D67" s="22" t="inlineStr">
        <is>
          <t>Preset: CUSTOM - Split Gold Payment (Metal Grams)</t>
        </is>
      </c>
      <c r="E67" s="22" t="inlineStr">
        <is>
          <t>Estimate sheet open</t>
        </is>
      </c>
      <c r="F67" s="22" t="inlineStr">
        <is>
          <t>1. Select CUSTOM.
2. Gold Mode: SPLIT.
3. Pure Gold Total: 20.000 g.
4. Enter Paid in Metal: 15.000 g.</t>
        </is>
      </c>
      <c r="G67" s="22" t="inlineStr">
        <is>
          <t>Paid Metal: 15.000 g
Gold Rate: ₹ 7,000</t>
        </is>
      </c>
      <c r="H67" s="22" t="inlineStr">
        <is>
          <t>Settled Gold = 15.000 g. Unpaid 5.000g converted to cash = $5.000 \times 7000 = ₹ 35,000.00$ added to Cash.</t>
        </is>
      </c>
      <c r="I67" s="23" t="inlineStr">
        <is>
          <t>PENDING</t>
        </is>
      </c>
      <c r="J67" s="22" t="inlineStr"/>
    </row>
    <row r="68" ht="45" customHeight="1">
      <c r="A68" s="16" t="inlineStr">
        <is>
          <t>TC-PRE-06</t>
        </is>
      </c>
      <c r="B68" s="16" t="inlineStr">
        <is>
          <t>MOD-10</t>
        </is>
      </c>
      <c r="C68" s="17" t="inlineStr">
        <is>
          <t>Estimate Settlement Presets Engine</t>
        </is>
      </c>
      <c r="D68" s="18" t="inlineStr">
        <is>
          <t>Preset: CUSTOM - Split Gold Payment (Rupee Advance)</t>
        </is>
      </c>
      <c r="E68" s="18" t="inlineStr">
        <is>
          <t>Estimate sheet open</t>
        </is>
      </c>
      <c r="F68" s="18" t="inlineStr">
        <is>
          <t>1. Select CUSTOM.
2. Gold Mode: SPLIT.
3. Enter Down Payment in Cash: ₹ 70,000.00 at rate ₹ 7,000/g.</t>
        </is>
      </c>
      <c r="G68" s="18" t="inlineStr">
        <is>
          <t>Down Payment: ₹ 70,000</t>
        </is>
      </c>
      <c r="H68" s="18" t="inlineStr">
        <is>
          <t>Metal paid equivalent = $70000 / 7000 = 10.000 \text{ g}$. Balances allocate correctly.</t>
        </is>
      </c>
      <c r="I68" s="19" t="inlineStr">
        <is>
          <t>PENDING</t>
        </is>
      </c>
      <c r="J68" s="18" t="inlineStr"/>
    </row>
    <row r="69" ht="45" customHeight="1">
      <c r="A69" s="20" t="inlineStr">
        <is>
          <t>TC-PRE-07</t>
        </is>
      </c>
      <c r="B69" s="20" t="inlineStr">
        <is>
          <t>MOD-10</t>
        </is>
      </c>
      <c r="C69" s="21" t="inlineStr">
        <is>
          <t>Estimate Settlement Presets Engine</t>
        </is>
      </c>
      <c r="D69" s="22" t="inlineStr">
        <is>
          <t>Preset Change Dynamic Recalculation</t>
        </is>
      </c>
      <c r="E69" s="22" t="inlineStr">
        <is>
          <t>Estimate sheet open</t>
        </is>
      </c>
      <c r="F69" s="22" t="inlineStr">
        <is>
          <t>1. Switch preset from FIX to B2BWITHOUTMC to ALLINGOLD.</t>
        </is>
      </c>
      <c r="G69" s="22" t="inlineStr">
        <is>
          <t>Preset switching</t>
        </is>
      </c>
      <c r="H69" s="22" t="inlineStr">
        <is>
          <t>Preview table updates immediately without page reload or numerical lag.</t>
        </is>
      </c>
      <c r="I69" s="23" t="inlineStr">
        <is>
          <t>PENDING</t>
        </is>
      </c>
      <c r="J69" s="22" t="inlineStr"/>
    </row>
    <row r="70" ht="45" customHeight="1">
      <c r="A70" s="16" t="inlineStr">
        <is>
          <t>TC-LIFE-01</t>
        </is>
      </c>
      <c r="B70" s="16" t="inlineStr">
        <is>
          <t>MOD-11</t>
        </is>
      </c>
      <c r="C70" s="17" t="inlineStr">
        <is>
          <t>Estimate Lifecycle &amp; Atomic Financial Postings</t>
        </is>
      </c>
      <c r="D70" s="18" t="inlineStr">
        <is>
          <t>Save Estimate as Draft</t>
        </is>
      </c>
      <c r="E70" s="18" t="inlineStr">
        <is>
          <t>New Estimate view</t>
        </is>
      </c>
      <c r="F70" s="18" t="inlineStr">
        <is>
          <t>1. Fill estimate items and select customer.
2. Click "Save Draft".</t>
        </is>
      </c>
      <c r="G70" s="18" t="inlineStr">
        <is>
          <t>Valid estimate</t>
        </is>
      </c>
      <c r="H70" s="18" t="inlineStr">
        <is>
          <t>Estimate saved with status DRAFT. Customer ledger balances (currentWT &amp; currentMC) remain 100% unchanged.</t>
        </is>
      </c>
      <c r="I70" s="19" t="inlineStr">
        <is>
          <t>PENDING</t>
        </is>
      </c>
      <c r="J70" s="18" t="inlineStr"/>
    </row>
    <row r="71" ht="45" customHeight="1">
      <c r="A71" s="20" t="inlineStr">
        <is>
          <t>TC-LIFE-02</t>
        </is>
      </c>
      <c r="B71" s="20" t="inlineStr">
        <is>
          <t>MOD-11</t>
        </is>
      </c>
      <c r="C71" s="21" t="inlineStr">
        <is>
          <t>Estimate Lifecycle &amp; Atomic Financial Postings</t>
        </is>
      </c>
      <c r="D71" s="22" t="inlineStr">
        <is>
          <t>Confirm Estimate &amp; Atomic Ledger Posting</t>
        </is>
      </c>
      <c r="E71" s="22" t="inlineStr">
        <is>
          <t>Draft estimate open</t>
        </is>
      </c>
      <c r="F71" s="22" t="inlineStr">
        <is>
          <t>1. In Estimate Details, click "Confirm &amp; Post to Ledger".
2. Confirm modal prompt.</t>
        </is>
      </c>
      <c r="G71" s="22" t="inlineStr">
        <is>
          <t>Draft Estimate</t>
        </is>
      </c>
      <c r="H71" s="22" t="inlineStr">
        <is>
          <t>Status updates to CONFIRMED. Atomic LedgerTransaction created. Customer balances update immediately.</t>
        </is>
      </c>
      <c r="I71" s="23" t="inlineStr">
        <is>
          <t>PENDING</t>
        </is>
      </c>
      <c r="J71" s="22" t="inlineStr"/>
    </row>
    <row r="72" ht="45" customHeight="1">
      <c r="A72" s="16" t="inlineStr">
        <is>
          <t>TC-LIFE-03</t>
        </is>
      </c>
      <c r="B72" s="16" t="inlineStr">
        <is>
          <t>MOD-11</t>
        </is>
      </c>
      <c r="C72" s="17" t="inlineStr">
        <is>
          <t>Estimate Lifecycle &amp; Atomic Financial Postings</t>
        </is>
      </c>
      <c r="D72" s="18" t="inlineStr">
        <is>
          <t>Customer Ledger Verification Post-Confirmation</t>
        </is>
      </c>
      <c r="E72" s="18" t="inlineStr">
        <is>
          <t>Customer profile</t>
        </is>
      </c>
      <c r="F72" s="18" t="inlineStr">
        <is>
          <t>1. Open customer's GC Account tab.
2. Check latest transaction entry.</t>
        </is>
      </c>
      <c r="G72" s="18" t="inlineStr">
        <is>
          <t>Customer ID</t>
        </is>
      </c>
      <c r="H72" s="18" t="inlineStr">
        <is>
          <t>Linked transaction displays estimate number, signed Pure WT delta, signed Total MC delta, and updated running balance.</t>
        </is>
      </c>
      <c r="I72" s="19" t="inlineStr">
        <is>
          <t>PENDING</t>
        </is>
      </c>
      <c r="J72" s="18" t="inlineStr"/>
    </row>
    <row r="73" ht="45" customHeight="1">
      <c r="A73" s="20" t="inlineStr">
        <is>
          <t>TC-LIFE-04</t>
        </is>
      </c>
      <c r="B73" s="20" t="inlineStr">
        <is>
          <t>MOD-11</t>
        </is>
      </c>
      <c r="C73" s="21" t="inlineStr">
        <is>
          <t>Estimate Lifecycle &amp; Atomic Financial Postings</t>
        </is>
      </c>
      <c r="D73" s="22" t="inlineStr">
        <is>
          <t>Reopen Estimate (Unconfirm) Rollback</t>
        </is>
      </c>
      <c r="E73" s="22" t="inlineStr">
        <is>
          <t>Confirmed estimate</t>
        </is>
      </c>
      <c r="F73" s="22" t="inlineStr">
        <is>
          <t>1. Click "Reopen Draft" on confirmed estimate.
2. Confirm modal prompt.</t>
        </is>
      </c>
      <c r="G73" s="22" t="inlineStr">
        <is>
          <t>Confirmed Estimate</t>
        </is>
      </c>
      <c r="H73" s="22" t="inlineStr">
        <is>
          <t>Status reverts to DRAFT. Linked transaction deleted. Customer historical balances recalculated to pre-confirmation state.</t>
        </is>
      </c>
      <c r="I73" s="23" t="inlineStr">
        <is>
          <t>PENDING</t>
        </is>
      </c>
      <c r="J73" s="22" t="inlineStr"/>
    </row>
    <row r="74" ht="45" customHeight="1">
      <c r="A74" s="16" t="inlineStr">
        <is>
          <t>TC-LIFE-05</t>
        </is>
      </c>
      <c r="B74" s="16" t="inlineStr">
        <is>
          <t>MOD-11</t>
        </is>
      </c>
      <c r="C74" s="17" t="inlineStr">
        <is>
          <t>Estimate Lifecycle &amp; Atomic Financial Postings</t>
        </is>
      </c>
      <c r="D74" s="18" t="inlineStr">
        <is>
          <t>Delete Draft Estimate</t>
        </is>
      </c>
      <c r="E74" s="18" t="inlineStr">
        <is>
          <t>Estimates view</t>
        </is>
      </c>
      <c r="F74" s="18" t="inlineStr">
        <is>
          <t>1. Click delete on a DRAFT estimate.
2. Confirm deletion.</t>
        </is>
      </c>
      <c r="G74" s="18" t="inlineStr">
        <is>
          <t>Draft Estimate</t>
        </is>
      </c>
      <c r="H74" s="18" t="inlineStr">
        <is>
          <t>Estimate removed from list. No ledger impact.</t>
        </is>
      </c>
      <c r="I74" s="19" t="inlineStr">
        <is>
          <t>PENDING</t>
        </is>
      </c>
      <c r="J74" s="18" t="inlineStr"/>
    </row>
    <row r="75" ht="45" customHeight="1">
      <c r="A75" s="20" t="inlineStr">
        <is>
          <t>TC-LIFE-06</t>
        </is>
      </c>
      <c r="B75" s="20" t="inlineStr">
        <is>
          <t>MOD-11</t>
        </is>
      </c>
      <c r="C75" s="21" t="inlineStr">
        <is>
          <t>Estimate Lifecycle &amp; Atomic Financial Postings</t>
        </is>
      </c>
      <c r="D75" s="22" t="inlineStr">
        <is>
          <t>Deletion Protection on Confirmed Estimate</t>
        </is>
      </c>
      <c r="E75" s="22" t="inlineStr">
        <is>
          <t>Confirmed estimate</t>
        </is>
      </c>
      <c r="F75" s="22" t="inlineStr">
        <is>
          <t>1. Observe delete action on confirmed estimate.</t>
        </is>
      </c>
      <c r="G75" s="22" t="inlineStr">
        <is>
          <t>Confirmed Estimate</t>
        </is>
      </c>
      <c r="H75" s="22" t="inlineStr">
        <is>
          <t>System prompts warning that linked ledger transaction must be unconfirmed first or automatically unlinks it safely.</t>
        </is>
      </c>
      <c r="I75" s="23" t="inlineStr">
        <is>
          <t>PENDING</t>
        </is>
      </c>
      <c r="J75" s="22" t="inlineStr"/>
    </row>
    <row r="76" ht="45" customHeight="1">
      <c r="A76" s="16" t="inlineStr">
        <is>
          <t>TC-PRINT-01</t>
        </is>
      </c>
      <c r="B76" s="16" t="inlineStr">
        <is>
          <t>MOD-12</t>
        </is>
      </c>
      <c r="C76" s="17" t="inlineStr">
        <is>
          <t>Estimate Invoice Details &amp; Print Output</t>
        </is>
      </c>
      <c r="D76" s="18" t="inlineStr">
        <is>
          <t>Print Layout Trigger</t>
        </is>
      </c>
      <c r="E76" s="18" t="inlineStr">
        <is>
          <t>Estimate details open</t>
        </is>
      </c>
      <c r="F76" s="18" t="inlineStr">
        <is>
          <t>1. Click "Print" button on estimate details header.</t>
        </is>
      </c>
      <c r="G76" s="18" t="inlineStr">
        <is>
          <t>Estimate sheet</t>
        </is>
      </c>
      <c r="H76" s="18" t="inlineStr">
        <is>
          <t>Browser print dialog triggers with clean, styled A4 print stylesheet.</t>
        </is>
      </c>
      <c r="I76" s="19" t="inlineStr">
        <is>
          <t>PENDING</t>
        </is>
      </c>
      <c r="J76" s="18" t="inlineStr"/>
    </row>
    <row r="77" ht="45" customHeight="1">
      <c r="A77" s="20" t="inlineStr">
        <is>
          <t>TC-PRINT-02</t>
        </is>
      </c>
      <c r="B77" s="20" t="inlineStr">
        <is>
          <t>MOD-12</t>
        </is>
      </c>
      <c r="C77" s="21" t="inlineStr">
        <is>
          <t>Estimate Invoice Details &amp; Print Output</t>
        </is>
      </c>
      <c r="D77" s="22" t="inlineStr">
        <is>
          <t>Company GSTIN Header Verification</t>
        </is>
      </c>
      <c r="E77" s="22" t="inlineStr">
        <is>
          <t>Print preview</t>
        </is>
      </c>
      <c r="F77" s="22" t="inlineStr">
        <is>
          <t>1. Inspect top header.</t>
        </is>
      </c>
      <c r="G77" s="22" t="inlineStr">
        <is>
          <t>Company GSTIN: 27AAACR9910K1Z4</t>
        </is>
      </c>
      <c r="H77" s="22" t="inlineStr">
        <is>
          <t>Company GSTIN is clearly visible and aligned alongside company name/logo.</t>
        </is>
      </c>
      <c r="I77" s="23" t="inlineStr">
        <is>
          <t>PENDING</t>
        </is>
      </c>
      <c r="J77" s="22" t="inlineStr"/>
    </row>
    <row r="78" ht="45" customHeight="1">
      <c r="A78" s="16" t="inlineStr">
        <is>
          <t>TC-PRINT-03</t>
        </is>
      </c>
      <c r="B78" s="16" t="inlineStr">
        <is>
          <t>MOD-12</t>
        </is>
      </c>
      <c r="C78" s="17" t="inlineStr">
        <is>
          <t>Estimate Invoice Details &amp; Print Output</t>
        </is>
      </c>
      <c r="D78" s="18" t="inlineStr">
        <is>
          <t>Customer GSTIN &amp; Details Block</t>
        </is>
      </c>
      <c r="E78" s="18" t="inlineStr">
        <is>
          <t>Print preview</t>
        </is>
      </c>
      <c r="F78" s="18" t="inlineStr">
        <is>
          <t>1. Inspect Customer section.</t>
        </is>
      </c>
      <c r="G78" s="18" t="inlineStr">
        <is>
          <t>Customer with GSTIN</t>
        </is>
      </c>
      <c r="H78" s="18" t="inlineStr">
        <is>
          <t>Customer Name, City, and Customer GSTIN appear cleanly formatted.</t>
        </is>
      </c>
      <c r="I78" s="19" t="inlineStr">
        <is>
          <t>PENDING</t>
        </is>
      </c>
      <c r="J78" s="18" t="inlineStr"/>
    </row>
    <row r="79" ht="45" customHeight="1">
      <c r="A79" s="20" t="inlineStr">
        <is>
          <t>TC-PRINT-04</t>
        </is>
      </c>
      <c r="B79" s="20" t="inlineStr">
        <is>
          <t>MOD-12</t>
        </is>
      </c>
      <c r="C79" s="21" t="inlineStr">
        <is>
          <t>Estimate Invoice Details &amp; Print Output</t>
        </is>
      </c>
      <c r="D79" s="22" t="inlineStr">
        <is>
          <t>Verification of Removed Customer Code</t>
        </is>
      </c>
      <c r="E79" s="22" t="inlineStr">
        <is>
          <t>Print preview</t>
        </is>
      </c>
      <c r="F79" s="22" t="inlineStr">
        <is>
          <t>1. Inspect Customer section.</t>
        </is>
      </c>
      <c r="G79" s="22" t="inlineStr">
        <is>
          <t>Customer SBG-C102</t>
        </is>
      </c>
      <c r="H79" s="22" t="inlineStr">
        <is>
          <t>Customer internal system code (SBG-C102) is NOT displayed anywhere in customer print block.</t>
        </is>
      </c>
      <c r="I79" s="23" t="inlineStr">
        <is>
          <t>PENDING</t>
        </is>
      </c>
      <c r="J79" s="22" t="inlineStr"/>
    </row>
    <row r="80" ht="45" customHeight="1">
      <c r="A80" s="16" t="inlineStr">
        <is>
          <t>TC-PRINT-05</t>
        </is>
      </c>
      <c r="B80" s="16" t="inlineStr">
        <is>
          <t>MOD-12</t>
        </is>
      </c>
      <c r="C80" s="17" t="inlineStr">
        <is>
          <t>Estimate Invoice Details &amp; Print Output</t>
        </is>
      </c>
      <c r="D80" s="18" t="inlineStr">
        <is>
          <t>Verification of Removed Wholesale Subtitle</t>
        </is>
      </c>
      <c r="E80" s="18" t="inlineStr">
        <is>
          <t>Print preview</t>
        </is>
      </c>
      <c r="F80" s="18" t="inlineStr">
        <is>
          <t>1. Inspect company header subtitle.</t>
        </is>
      </c>
      <c r="G80" s="18" t="inlineStr">
        <is>
          <t>Header area</t>
        </is>
      </c>
      <c r="H80" s="18" t="inlineStr">
        <is>
          <t>Subtitle "WHOLESALE BULLION &amp; FINE ORNAMENTS • ZAVERI BAZAAR, MUMBAI" is NOT displayed.</t>
        </is>
      </c>
      <c r="I80" s="19" t="inlineStr">
        <is>
          <t>PENDING</t>
        </is>
      </c>
      <c r="J80" s="18" t="inlineStr"/>
    </row>
    <row r="81" ht="45" customHeight="1">
      <c r="A81" s="20" t="inlineStr">
        <is>
          <t>TC-PRINT-06</t>
        </is>
      </c>
      <c r="B81" s="20" t="inlineStr">
        <is>
          <t>MOD-12</t>
        </is>
      </c>
      <c r="C81" s="21" t="inlineStr">
        <is>
          <t>Estimate Invoice Details &amp; Print Output</t>
        </is>
      </c>
      <c r="D81" s="22" t="inlineStr">
        <is>
          <t>Verification of Removed Ledger Status Badge</t>
        </is>
      </c>
      <c r="E81" s="22" t="inlineStr">
        <is>
          <t>Print preview</t>
        </is>
      </c>
      <c r="F81" s="22" t="inlineStr">
        <is>
          <t>1. Inspect footer and summary boxes.</t>
        </is>
      </c>
      <c r="G81" s="22" t="inlineStr">
        <is>
          <t>Footer area</t>
        </is>
      </c>
      <c r="H81" s="22" t="inlineStr">
        <is>
          <t>Badge "Ledger Status: Confirmed &amp; Posted Dual-Ledger Sync" is NOT displayed.</t>
        </is>
      </c>
      <c r="I81" s="23" t="inlineStr">
        <is>
          <t>PENDING</t>
        </is>
      </c>
      <c r="J81" s="22" t="inlineStr"/>
    </row>
    <row r="82" ht="45" customHeight="1">
      <c r="A82" s="16" t="inlineStr">
        <is>
          <t>TC-PRINT-07</t>
        </is>
      </c>
      <c r="B82" s="16" t="inlineStr">
        <is>
          <t>MOD-12</t>
        </is>
      </c>
      <c r="C82" s="17" t="inlineStr">
        <is>
          <t>Estimate Invoice Details &amp; Print Output</t>
        </is>
      </c>
      <c r="D82" s="18" t="inlineStr">
        <is>
          <t>Official Bank Details Section</t>
        </is>
      </c>
      <c r="E82" s="18" t="inlineStr">
        <is>
          <t>Print preview</t>
        </is>
      </c>
      <c r="F82" s="18" t="inlineStr">
        <is>
          <t>1. Inspect Bank details box on bottom left.</t>
        </is>
      </c>
      <c r="G82" s="18" t="inlineStr">
        <is>
          <t>Bank details</t>
        </is>
      </c>
      <c r="H82" s="18" t="inlineStr">
        <is>
          <t>Displays Bank Name, Account Name (SREE BALAJI GOLD), Account Number, and IFSC code cleanly.</t>
        </is>
      </c>
      <c r="I82" s="19" t="inlineStr">
        <is>
          <t>PENDING</t>
        </is>
      </c>
      <c r="J82" s="18" t="inlineStr"/>
    </row>
    <row r="83" ht="45" customHeight="1">
      <c r="A83" s="20" t="inlineStr">
        <is>
          <t>TC-PRINT-08</t>
        </is>
      </c>
      <c r="B83" s="20" t="inlineStr">
        <is>
          <t>MOD-12</t>
        </is>
      </c>
      <c r="C83" s="21" t="inlineStr">
        <is>
          <t>Estimate Invoice Details &amp; Print Output</t>
        </is>
      </c>
      <c r="D83" s="22" t="inlineStr">
        <is>
          <t>Single Authorized Signatory Box</t>
        </is>
      </c>
      <c r="E83" s="22" t="inlineStr">
        <is>
          <t>Print preview</t>
        </is>
      </c>
      <c r="F83" s="22" t="inlineStr">
        <is>
          <t>1. Inspect signature section on bottom right.</t>
        </is>
      </c>
      <c r="G83" s="22" t="inlineStr">
        <is>
          <t>Bottom right</t>
        </is>
      </c>
      <c r="H83" s="22" t="inlineStr">
        <is>
          <t>Displays single "Authorized Signatory" box. Customer signature box is removed.</t>
        </is>
      </c>
      <c r="I83" s="23" t="inlineStr">
        <is>
          <t>PENDING</t>
        </is>
      </c>
      <c r="J83" s="22" t="inlineStr"/>
    </row>
    <row r="84" ht="45" customHeight="1">
      <c r="A84" s="16" t="inlineStr">
        <is>
          <t>TC-SET-01</t>
        </is>
      </c>
      <c r="B84" s="16" t="inlineStr">
        <is>
          <t>MOD-13</t>
        </is>
      </c>
      <c r="C84" s="17" t="inlineStr">
        <is>
          <t>Gold &amp; Cash Spot Rate Settlements</t>
        </is>
      </c>
      <c r="D84" s="18" t="inlineStr">
        <is>
          <t>Gold Only Settlement</t>
        </is>
      </c>
      <c r="E84" s="18" t="inlineStr">
        <is>
          <t>New Settlement view</t>
        </is>
      </c>
      <c r="F84" s="18" t="inlineStr">
        <is>
          <t>1. Select Customer.
2. Type: GOLDONLY.
3. Gold Received: 15.000 g.
4. Agreed Gold Rate: ₹ 7,200/g.
5. Submit.</t>
        </is>
      </c>
      <c r="G84" s="18" t="inlineStr">
        <is>
          <t>Gold: 15.000 g
Rate: 7200</t>
        </is>
      </c>
      <c r="H84" s="18" t="inlineStr">
        <is>
          <t>$\Delta \text{WT} = -15.000 \text{ g}$, $\Delta \text{MC} = ₹ 0.00$. Customer currentWT liability reduces by 15.000 g.</t>
        </is>
      </c>
      <c r="I84" s="19" t="inlineStr">
        <is>
          <t>PENDING</t>
        </is>
      </c>
      <c r="J84" s="18" t="inlineStr"/>
    </row>
    <row r="85" ht="45" customHeight="1">
      <c r="A85" s="20" t="inlineStr">
        <is>
          <t>TC-SET-02</t>
        </is>
      </c>
      <c r="B85" s="20" t="inlineStr">
        <is>
          <t>MOD-13</t>
        </is>
      </c>
      <c r="C85" s="21" t="inlineStr">
        <is>
          <t>Gold &amp; Cash Spot Rate Settlements</t>
        </is>
      </c>
      <c r="D85" s="22" t="inlineStr">
        <is>
          <t>Cash Only Settlement</t>
        </is>
      </c>
      <c r="E85" s="22" t="inlineStr">
        <is>
          <t>New Settlement view</t>
        </is>
      </c>
      <c r="F85" s="22" t="inlineStr">
        <is>
          <t>1. Type: CASHONLY.
2. Cash Received: ₹ 40,000.00.
3. Submit.</t>
        </is>
      </c>
      <c r="G85" s="22" t="inlineStr">
        <is>
          <t>Cash: 40000.00</t>
        </is>
      </c>
      <c r="H85" s="22" t="inlineStr">
        <is>
          <t>$\Delta \text{WT} = 0.000 \text{ g}$, $\Delta \text{MC} = -₹ 40,000.00$. Customer currentMC liability reduces by ₹ 40,000.00.</t>
        </is>
      </c>
      <c r="I85" s="23" t="inlineStr">
        <is>
          <t>PENDING</t>
        </is>
      </c>
      <c r="J85" s="22" t="inlineStr"/>
    </row>
    <row r="86" ht="45" customHeight="1">
      <c r="A86" s="16" t="inlineStr">
        <is>
          <t>TC-SET-03</t>
        </is>
      </c>
      <c r="B86" s="16" t="inlineStr">
        <is>
          <t>MOD-13</t>
        </is>
      </c>
      <c r="C86" s="17" t="inlineStr">
        <is>
          <t>Gold &amp; Cash Spot Rate Settlements</t>
        </is>
      </c>
      <c r="D86" s="18" t="inlineStr">
        <is>
          <t>Gold + Cash Combined Settlement</t>
        </is>
      </c>
      <c r="E86" s="18" t="inlineStr">
        <is>
          <t>New Settlement view</t>
        </is>
      </c>
      <c r="F86" s="18" t="inlineStr">
        <is>
          <t>1. Type: GOLDANDCASH.
2. Gold: 10.000g, Cash: ₹ 20,000.00.
3. Agreed Rate: ₹ 7,100/g.
4. Submit.</t>
        </is>
      </c>
      <c r="G86" s="18" t="inlineStr">
        <is>
          <t>Gold: 10.000 g
Cash: 20000.00</t>
        </is>
      </c>
      <c r="H86" s="18" t="inlineStr">
        <is>
          <t>Pure WT reduces by 10.000 g, cash reduces by ₹ 20,000.00. Gold Equivalent Value computed ($10 \times 7100 = ₹ 71,000$).</t>
        </is>
      </c>
      <c r="I86" s="19" t="inlineStr">
        <is>
          <t>PENDING</t>
        </is>
      </c>
      <c r="J86" s="18" t="inlineStr"/>
    </row>
    <row r="87" ht="45" customHeight="1">
      <c r="A87" s="20" t="inlineStr">
        <is>
          <t>TC-SET-04</t>
        </is>
      </c>
      <c r="B87" s="20" t="inlineStr">
        <is>
          <t>MOD-13</t>
        </is>
      </c>
      <c r="C87" s="21" t="inlineStr">
        <is>
          <t>Gold &amp; Cash Spot Rate Settlements</t>
        </is>
      </c>
      <c r="D87" s="22" t="inlineStr">
        <is>
          <t>Real-time Settlement Impact Preview</t>
        </is>
      </c>
      <c r="E87" s="22" t="inlineStr">
        <is>
          <t>New Settlement view</t>
        </is>
      </c>
      <c r="F87" s="22" t="inlineStr">
        <is>
          <t>1. Adjust gold or cash input values in the form.</t>
        </is>
      </c>
      <c r="G87" s="22" t="inlineStr">
        <is>
          <t>Inputs changing</t>
        </is>
      </c>
      <c r="H87" s="22" t="inlineStr">
        <is>
          <t>"New Balance WT" and "New Balance MC" preview cards update live as values are typed.</t>
        </is>
      </c>
      <c r="I87" s="23" t="inlineStr">
        <is>
          <t>PENDING</t>
        </is>
      </c>
      <c r="J87" s="22" t="inlineStr"/>
    </row>
    <row r="88" ht="45" customHeight="1">
      <c r="A88" s="16" t="inlineStr">
        <is>
          <t>TC-SET-05</t>
        </is>
      </c>
      <c r="B88" s="16" t="inlineStr">
        <is>
          <t>MOD-13</t>
        </is>
      </c>
      <c r="C88" s="17" t="inlineStr">
        <is>
          <t>Gold &amp; Cash Spot Rate Settlements</t>
        </is>
      </c>
      <c r="D88" s="18" t="inlineStr">
        <is>
          <t>Settlements Register Listing</t>
        </is>
      </c>
      <c r="E88" s="18" t="inlineStr">
        <is>
          <t>Settlements view open</t>
        </is>
      </c>
      <c r="F88" s="18" t="inlineStr">
        <is>
          <t>1. Open Settlements tab.</t>
        </is>
      </c>
      <c r="G88" s="18" t="inlineStr">
        <is>
          <t>Settlements list</t>
        </is>
      </c>
      <c r="H88" s="18" t="inlineStr">
        <is>
          <t>Lists all recorded settlements with Settlement No (SET-YYYY-XXXX), Date, Customer, Type, Gold, and Cash.</t>
        </is>
      </c>
      <c r="I88" s="19" t="inlineStr">
        <is>
          <t>PENDING</t>
        </is>
      </c>
      <c r="J88" s="18" t="inlineStr"/>
    </row>
    <row r="89" ht="45" customHeight="1">
      <c r="A89" s="20" t="inlineStr">
        <is>
          <t>TC-SET-06</t>
        </is>
      </c>
      <c r="B89" s="20" t="inlineStr">
        <is>
          <t>MOD-13</t>
        </is>
      </c>
      <c r="C89" s="21" t="inlineStr">
        <is>
          <t>Gold &amp; Cash Spot Rate Settlements</t>
        </is>
      </c>
      <c r="D89" s="22" t="inlineStr">
        <is>
          <t>Settlement Navigation to Customer Profile</t>
        </is>
      </c>
      <c r="E89" s="22" t="inlineStr">
        <is>
          <t>New Settlement view</t>
        </is>
      </c>
      <c r="F89" s="22" t="inlineStr">
        <is>
          <t>1. Submit a settlement.</t>
        </is>
      </c>
      <c r="G89" s="22" t="inlineStr">
        <is>
          <t>Form submitted</t>
        </is>
      </c>
      <c r="H89" s="22" t="inlineStr">
        <is>
          <t>Upon submission, user is automatically redirected to the updated Customer Profile view showing new balances.</t>
        </is>
      </c>
      <c r="I89" s="23" t="inlineStr">
        <is>
          <t>PENDING</t>
        </is>
      </c>
      <c r="J89" s="22" t="inlineStr"/>
    </row>
    <row r="90" ht="45" customHeight="1">
      <c r="A90" s="16" t="inlineStr">
        <is>
          <t>TC-REP-01</t>
        </is>
      </c>
      <c r="B90" s="16" t="inlineStr">
        <is>
          <t>MOD-14</t>
        </is>
      </c>
      <c r="C90" s="17" t="inlineStr">
        <is>
          <t>Commercial Reports &amp; CSV Export Registers</t>
        </is>
      </c>
      <c r="D90" s="18" t="inlineStr">
        <is>
          <t>Customer Balance Statement Report</t>
        </is>
      </c>
      <c r="E90" s="18" t="inlineStr">
        <is>
          <t>Reports view open</t>
        </is>
      </c>
      <c r="F90" s="18" t="inlineStr">
        <is>
          <t>1. Select "Customer Balance Statement".
2. Verify displayed balances.</t>
        </is>
      </c>
      <c r="G90" s="18" t="inlineStr">
        <is>
          <t>Registered customers</t>
        </is>
      </c>
      <c r="H90" s="18" t="inlineStr">
        <is>
          <t>Displays all customers, opening gold, opening cash, current pure gold, current cash, and active status.</t>
        </is>
      </c>
      <c r="I90" s="19" t="inlineStr">
        <is>
          <t>PENDING</t>
        </is>
      </c>
      <c r="J90" s="18" t="inlineStr"/>
    </row>
    <row r="91" ht="45" customHeight="1">
      <c r="A91" s="20" t="inlineStr">
        <is>
          <t>TC-REP-02</t>
        </is>
      </c>
      <c r="B91" s="20" t="inlineStr">
        <is>
          <t>MOD-14</t>
        </is>
      </c>
      <c r="C91" s="21" t="inlineStr">
        <is>
          <t>Commercial Reports &amp; CSV Export Registers</t>
        </is>
      </c>
      <c r="D91" s="22" t="inlineStr">
        <is>
          <t>Customer Balance CSV Export</t>
        </is>
      </c>
      <c r="E91" s="22" t="inlineStr">
        <is>
          <t>Reports view open</t>
        </is>
      </c>
      <c r="F91" s="22" t="inlineStr">
        <is>
          <t>1. In Customer Balance report, click "Export CSV".</t>
        </is>
      </c>
      <c r="G91" s="22" t="inlineStr">
        <is>
          <t>N/A</t>
        </is>
      </c>
      <c r="H91" s="22" t="inlineStr">
        <is>
          <t>Browser downloads SBGReportCUSTOMERBALANCES[Date].csv with all numerical columns intact.</t>
        </is>
      </c>
      <c r="I91" s="23" t="inlineStr">
        <is>
          <t>PENDING</t>
        </is>
      </c>
      <c r="J91" s="22" t="inlineStr"/>
    </row>
    <row r="92" ht="45" customHeight="1">
      <c r="A92" s="16" t="inlineStr">
        <is>
          <t>TC-REP-03</t>
        </is>
      </c>
      <c r="B92" s="16" t="inlineStr">
        <is>
          <t>MOD-14</t>
        </is>
      </c>
      <c r="C92" s="17" t="inlineStr">
        <is>
          <t>Commercial Reports &amp; CSV Export Registers</t>
        </is>
      </c>
      <c r="D92" s="18" t="inlineStr">
        <is>
          <t>Customer Ledger Register Report</t>
        </is>
      </c>
      <c r="E92" s="18" t="inlineStr">
        <is>
          <t>Reports view open</t>
        </is>
      </c>
      <c r="F92" s="18" t="inlineStr">
        <is>
          <t>1. Select "Ledger Register".
2. Filter by specific customer.
3. Filter date range.</t>
        </is>
      </c>
      <c r="G92" s="18" t="inlineStr">
        <is>
          <t>Customer &amp; Date range</t>
        </is>
      </c>
      <c r="H92" s="18" t="inlineStr">
        <is>
          <t>Displays filtered chronological journal lines for the customer within selected dates.</t>
        </is>
      </c>
      <c r="I92" s="19" t="inlineStr">
        <is>
          <t>PENDING</t>
        </is>
      </c>
      <c r="J92" s="18" t="inlineStr"/>
    </row>
    <row r="93" ht="45" customHeight="1">
      <c r="A93" s="20" t="inlineStr">
        <is>
          <t>TC-REP-04</t>
        </is>
      </c>
      <c r="B93" s="20" t="inlineStr">
        <is>
          <t>MOD-14</t>
        </is>
      </c>
      <c r="C93" s="21" t="inlineStr">
        <is>
          <t>Commercial Reports &amp; CSV Export Registers</t>
        </is>
      </c>
      <c r="D93" s="22" t="inlineStr">
        <is>
          <t>Order Commercial Register</t>
        </is>
      </c>
      <c r="E93" s="22" t="inlineStr">
        <is>
          <t>Reports view open</t>
        </is>
      </c>
      <c r="F93" s="22" t="inlineStr">
        <is>
          <t>1. Select "Order Summary Register".</t>
        </is>
      </c>
      <c r="G93" s="22" t="inlineStr">
        <is>
          <t>Orders data</t>
        </is>
      </c>
      <c r="H93" s="22" t="inlineStr">
        <is>
          <t>Displays all orders with targets, deadlines, ERP references, and manufacturing status.</t>
        </is>
      </c>
      <c r="I93" s="23" t="inlineStr">
        <is>
          <t>PENDING</t>
        </is>
      </c>
      <c r="J93" s="22" t="inlineStr"/>
    </row>
    <row r="94" ht="45" customHeight="1">
      <c r="A94" s="16" t="inlineStr">
        <is>
          <t>TC-REP-05</t>
        </is>
      </c>
      <c r="B94" s="16" t="inlineStr">
        <is>
          <t>MOD-14</t>
        </is>
      </c>
      <c r="C94" s="17" t="inlineStr">
        <is>
          <t>Commercial Reports &amp; CSV Export Registers</t>
        </is>
      </c>
      <c r="D94" s="18" t="inlineStr">
        <is>
          <t>Estimate &amp; Cost Register Report</t>
        </is>
      </c>
      <c r="E94" s="18" t="inlineStr">
        <is>
          <t>Reports view open</t>
        </is>
      </c>
      <c r="F94" s="18" t="inlineStr">
        <is>
          <t>1. Select "Estimate &amp; Cost Register".</t>
        </is>
      </c>
      <c r="G94" s="18" t="inlineStr">
        <is>
          <t>Estimates data</t>
        </is>
      </c>
      <c r="H94" s="18" t="inlineStr">
        <is>
          <t>Lists all estimates with estimate number, date, customer, status, taxable value, GST, and grand total.</t>
        </is>
      </c>
      <c r="I94" s="19" t="inlineStr">
        <is>
          <t>PENDING</t>
        </is>
      </c>
      <c r="J94" s="18" t="inlineStr"/>
    </row>
    <row r="95" ht="45" customHeight="1">
      <c r="A95" s="20" t="inlineStr">
        <is>
          <t>TC-REP-06</t>
        </is>
      </c>
      <c r="B95" s="20" t="inlineStr">
        <is>
          <t>MOD-14</t>
        </is>
      </c>
      <c r="C95" s="21" t="inlineStr">
        <is>
          <t>Commercial Reports &amp; CSV Export Registers</t>
        </is>
      </c>
      <c r="D95" s="22" t="inlineStr">
        <is>
          <t>Settlement Register Report</t>
        </is>
      </c>
      <c r="E95" s="22" t="inlineStr">
        <is>
          <t>Reports view open</t>
        </is>
      </c>
      <c r="F95" s="22" t="inlineStr">
        <is>
          <t>1. Select "Settlement Register".</t>
        </is>
      </c>
      <c r="G95" s="22" t="inlineStr">
        <is>
          <t>Settlements data</t>
        </is>
      </c>
      <c r="H95" s="22" t="inlineStr">
        <is>
          <t>Lists all spot settlements with gold received, cash received, and agreed gold rate.</t>
        </is>
      </c>
      <c r="I95" s="23" t="inlineStr">
        <is>
          <t>PENDING</t>
        </is>
      </c>
      <c r="J95" s="22" t="inlineStr"/>
    </row>
    <row r="96" ht="45" customHeight="1">
      <c r="A96" s="16" t="inlineStr">
        <is>
          <t>TC-AUD-01</t>
        </is>
      </c>
      <c r="B96" s="16" t="inlineStr">
        <is>
          <t>MOD-15</t>
        </is>
      </c>
      <c r="C96" s="17" t="inlineStr">
        <is>
          <t>Immutable Audit Trail &amp; Data Integrity</t>
        </is>
      </c>
      <c r="D96" s="18" t="inlineStr">
        <is>
          <t>Audit Trail Event Logging</t>
        </is>
      </c>
      <c r="E96" s="18" t="inlineStr">
        <is>
          <t>Perform any action</t>
        </is>
      </c>
      <c r="F96" s="18" t="inlineStr">
        <is>
          <t>1. Create a customer or confirm an estimate.
2. Navigate to Audit &amp; Security view.</t>
        </is>
      </c>
      <c r="G96" s="18" t="inlineStr">
        <is>
          <t>Action performed</t>
        </is>
      </c>
      <c r="H96" s="18" t="inlineStr">
        <is>
          <t>Audit view contains new row with Timestamp, Current User, Module, Action (CONFIRMESTIMATE), and Details.</t>
        </is>
      </c>
      <c r="I96" s="19" t="inlineStr">
        <is>
          <t>PENDING</t>
        </is>
      </c>
      <c r="J96" s="18" t="inlineStr"/>
    </row>
    <row r="97" ht="45" customHeight="1">
      <c r="A97" s="20" t="inlineStr">
        <is>
          <t>TC-AUD-02</t>
        </is>
      </c>
      <c r="B97" s="20" t="inlineStr">
        <is>
          <t>MOD-15</t>
        </is>
      </c>
      <c r="C97" s="21" t="inlineStr">
        <is>
          <t>Immutable Audit Trail &amp; Data Integrity</t>
        </is>
      </c>
      <c r="D97" s="22" t="inlineStr">
        <is>
          <t>Audit Module Filter</t>
        </is>
      </c>
      <c r="E97" s="22" t="inlineStr">
        <is>
          <t>Audit view open</t>
        </is>
      </c>
      <c r="F97" s="22" t="inlineStr">
        <is>
          <t>1. Filter by Module: ESTIMATES.
2. Filter by Module: LEDGER.</t>
        </is>
      </c>
      <c r="G97" s="22" t="inlineStr">
        <is>
          <t>Module dropdown</t>
        </is>
      </c>
      <c r="H97" s="22" t="inlineStr">
        <is>
          <t>Audit table displays only events belonging to the selected module.</t>
        </is>
      </c>
      <c r="I97" s="23" t="inlineStr">
        <is>
          <t>PENDING</t>
        </is>
      </c>
      <c r="J97" s="22" t="inlineStr"/>
    </row>
    <row r="98" ht="45" customHeight="1">
      <c r="A98" s="16" t="inlineStr">
        <is>
          <t>TC-AUD-03</t>
        </is>
      </c>
      <c r="B98" s="16" t="inlineStr">
        <is>
          <t>MOD-15</t>
        </is>
      </c>
      <c r="C98" s="17" t="inlineStr">
        <is>
          <t>Immutable Audit Trail &amp; Data Integrity</t>
        </is>
      </c>
      <c r="D98" s="18" t="inlineStr">
        <is>
          <t>Audit Search Filter</t>
        </is>
      </c>
      <c r="E98" s="18" t="inlineStr">
        <is>
          <t>Audit view open</t>
        </is>
      </c>
      <c r="F98" s="18" t="inlineStr">
        <is>
          <t>1. Type specific estimate number or user name into search bar.</t>
        </is>
      </c>
      <c r="G98" s="18" t="inlineStr">
        <is>
          <t>Search query: EST-2026-</t>
        </is>
      </c>
      <c r="H98" s="18" t="inlineStr">
        <is>
          <t>Audit logs filter in real-time matching the entered search string.</t>
        </is>
      </c>
      <c r="I98" s="19" t="inlineStr">
        <is>
          <t>PENDING</t>
        </is>
      </c>
      <c r="J98" s="18" t="inlineStr"/>
    </row>
    <row r="99" ht="45" customHeight="1">
      <c r="A99" s="20" t="inlineStr">
        <is>
          <t>TC-AUD-04</t>
        </is>
      </c>
      <c r="B99" s="20" t="inlineStr">
        <is>
          <t>MOD-15</t>
        </is>
      </c>
      <c r="C99" s="21" t="inlineStr">
        <is>
          <t>Immutable Audit Trail &amp; Data Integrity</t>
        </is>
      </c>
      <c r="D99" s="22" t="inlineStr">
        <is>
          <t>Event Details Transparency</t>
        </is>
      </c>
      <c r="E99" s="22" t="inlineStr">
        <is>
          <t>Audit view open</t>
        </is>
      </c>
      <c r="F99" s="22" t="inlineStr">
        <is>
          <t>1. Inspect Event Details column for a confirmed estimate.</t>
        </is>
      </c>
      <c r="G99" s="22" t="inlineStr">
        <is>
          <t>Confirmed estimate row</t>
        </is>
      </c>
      <c r="H99" s="22" t="inlineStr">
        <is>
          <t>Shows exact gold weight and cash amount posted to the ledger in plain English.</t>
        </is>
      </c>
      <c r="I99" s="23" t="inlineStr">
        <is>
          <t>PENDING</t>
        </is>
      </c>
      <c r="J99" s="22" t="inlineStr"/>
    </row>
    <row r="100" ht="45" customHeight="1">
      <c r="A100" s="16" t="inlineStr">
        <is>
          <t>TC-AUD-05</t>
        </is>
      </c>
      <c r="B100" s="16" t="inlineStr">
        <is>
          <t>MOD-15</t>
        </is>
      </c>
      <c r="C100" s="17" t="inlineStr">
        <is>
          <t>Immutable Audit Trail &amp; Data Integrity</t>
        </is>
      </c>
      <c r="D100" s="18" t="inlineStr">
        <is>
          <t>Notification Badge Sync with Audit</t>
        </is>
      </c>
      <c r="E100" s="18" t="inlineStr">
        <is>
          <t>Audit view open</t>
        </is>
      </c>
      <c r="F100" s="18" t="inlineStr">
        <is>
          <t>1. Observe notification bell when entering Audit view.</t>
        </is>
      </c>
      <c r="G100" s="18" t="inlineStr">
        <is>
          <t>Bell badge</t>
        </is>
      </c>
      <c r="H100" s="18" t="inlineStr">
        <is>
          <t>Notification count clears and marks items as read when audit view is inspected.</t>
        </is>
      </c>
      <c r="I100" s="19" t="inlineStr">
        <is>
          <t>PENDING</t>
        </is>
      </c>
      <c r="J100" s="18" t="inlineStr"/>
    </row>
    <row r="101" ht="45" customHeight="1">
      <c r="A101" s="20" t="inlineStr">
        <is>
          <t>TC-USER-01</t>
        </is>
      </c>
      <c r="B101" s="20" t="inlineStr">
        <is>
          <t>MOD-16</t>
        </is>
      </c>
      <c r="C101" s="21" t="inlineStr">
        <is>
          <t>Users, Roles &amp; Access Control</t>
        </is>
      </c>
      <c r="D101" s="22" t="inlineStr">
        <is>
          <t>Create Staff User Account</t>
        </is>
      </c>
      <c r="E101" s="22" t="inlineStr">
        <is>
          <t>Users view open</t>
        </is>
      </c>
      <c r="F101" s="22" t="inlineStr">
        <is>
          <t>1. Click "Add User".
2. Enter Name, Email, Username, Role: STAFF, Password.
3. Save.</t>
        </is>
      </c>
      <c r="G101" s="22" t="inlineStr">
        <is>
          <t>Role: STAFF
Username: staff1</t>
        </is>
      </c>
      <c r="H101" s="22" t="inlineStr">
        <is>
          <t>Staff user created and listed in table with ACTIVE status badge.</t>
        </is>
      </c>
      <c r="I101" s="23" t="inlineStr">
        <is>
          <t>PENDING</t>
        </is>
      </c>
      <c r="J101" s="22" t="inlineStr"/>
    </row>
    <row r="102" ht="45" customHeight="1">
      <c r="A102" s="16" t="inlineStr">
        <is>
          <t>TC-USER-02</t>
        </is>
      </c>
      <c r="B102" s="16" t="inlineStr">
        <is>
          <t>MOD-16</t>
        </is>
      </c>
      <c r="C102" s="17" t="inlineStr">
        <is>
          <t>Users, Roles &amp; Access Control</t>
        </is>
      </c>
      <c r="D102" s="18" t="inlineStr">
        <is>
          <t>Create Client User Account Linked to Customer</t>
        </is>
      </c>
      <c r="E102" s="18" t="inlineStr">
        <is>
          <t>Users view open</t>
        </is>
      </c>
      <c r="F102" s="18" t="inlineStr">
        <is>
          <t>1. Click "Add User".
2. Select Role: CLIENT.
3. Select linked customer from dropdown.
4. Save.</t>
        </is>
      </c>
      <c r="G102" s="18" t="inlineStr">
        <is>
          <t>Role: CLIENT
Customer: TIKVAH</t>
        </is>
      </c>
      <c r="H102" s="18" t="inlineStr">
        <is>
          <t>Client account created and strictly linked to customer TIKVAH.</t>
        </is>
      </c>
      <c r="I102" s="19" t="inlineStr">
        <is>
          <t>PENDING</t>
        </is>
      </c>
      <c r="J102" s="18" t="inlineStr"/>
    </row>
    <row r="103" ht="45" customHeight="1">
      <c r="A103" s="20" t="inlineStr">
        <is>
          <t>TC-USER-03</t>
        </is>
      </c>
      <c r="B103" s="20" t="inlineStr">
        <is>
          <t>MOD-16</t>
        </is>
      </c>
      <c r="C103" s="21" t="inlineStr">
        <is>
          <t>Users, Roles &amp; Access Control</t>
        </is>
      </c>
      <c r="D103" s="22" t="inlineStr">
        <is>
          <t>Edit User Profile &amp; Password</t>
        </is>
      </c>
      <c r="E103" s="22" t="inlineStr">
        <is>
          <t>Users view open</t>
        </is>
      </c>
      <c r="F103" s="22" t="inlineStr">
        <is>
          <t>1. Click edit on existing user.
2. Change password.
3. Save.</t>
        </is>
      </c>
      <c r="G103" s="22" t="inlineStr">
        <is>
          <t>New password</t>
        </is>
      </c>
      <c r="H103" s="22" t="inlineStr">
        <is>
          <t>Password updated. User can log in with new password immediately.</t>
        </is>
      </c>
      <c r="I103" s="23" t="inlineStr">
        <is>
          <t>PENDING</t>
        </is>
      </c>
      <c r="J103" s="22" t="inlineStr"/>
    </row>
    <row r="104" ht="45" customHeight="1">
      <c r="A104" s="16" t="inlineStr">
        <is>
          <t>TC-USER-04</t>
        </is>
      </c>
      <c r="B104" s="16" t="inlineStr">
        <is>
          <t>MOD-16</t>
        </is>
      </c>
      <c r="C104" s="17" t="inlineStr">
        <is>
          <t>Users, Roles &amp; Access Control</t>
        </is>
      </c>
      <c r="D104" s="18" t="inlineStr">
        <is>
          <t>Disable User Account</t>
        </is>
      </c>
      <c r="E104" s="18" t="inlineStr">
        <is>
          <t>Users view open</t>
        </is>
      </c>
      <c r="F104" s="18" t="inlineStr">
        <is>
          <t>1. Edit user and set Status: DISABLED.
2. Attempt login as that user.</t>
        </is>
      </c>
      <c r="G104" s="18" t="inlineStr">
        <is>
          <t>Status: DISABLED</t>
        </is>
      </c>
      <c r="H104" s="18" t="inlineStr">
        <is>
          <t>Login fails with disabled account notification.</t>
        </is>
      </c>
      <c r="I104" s="19" t="inlineStr">
        <is>
          <t>PENDING</t>
        </is>
      </c>
      <c r="J104" s="18" t="inlineStr"/>
    </row>
    <row r="105" ht="45" customHeight="1">
      <c r="A105" s="20" t="inlineStr">
        <is>
          <t>TC-USER-05</t>
        </is>
      </c>
      <c r="B105" s="20" t="inlineStr">
        <is>
          <t>MOD-16</t>
        </is>
      </c>
      <c r="C105" s="21" t="inlineStr">
        <is>
          <t>Users, Roles &amp; Access Control</t>
        </is>
      </c>
      <c r="D105" s="22" t="inlineStr">
        <is>
          <t>Delete User Account</t>
        </is>
      </c>
      <c r="E105" s="22" t="inlineStr">
        <is>
          <t>Users view open</t>
        </is>
      </c>
      <c r="F105" s="22" t="inlineStr">
        <is>
          <t>1. Click delete on a non-admin user.
2. Confirm deletion.</t>
        </is>
      </c>
      <c r="G105" s="22" t="inlineStr">
        <is>
          <t>User ID</t>
        </is>
      </c>
      <c r="H105" s="22" t="inlineStr">
        <is>
          <t>User account removed from system. Cannot delete primary admin account.</t>
        </is>
      </c>
      <c r="I105" s="23" t="inlineStr">
        <is>
          <t>PENDING</t>
        </is>
      </c>
      <c r="J105" s="22" t="inlineStr"/>
    </row>
    <row r="106" ht="45" customHeight="1">
      <c r="A106" s="16" t="inlineStr">
        <is>
          <t>TC-USER-06</t>
        </is>
      </c>
      <c r="B106" s="16" t="inlineStr">
        <is>
          <t>MOD-16</t>
        </is>
      </c>
      <c r="C106" s="17" t="inlineStr">
        <is>
          <t>Users, Roles &amp; Access Control</t>
        </is>
      </c>
      <c r="D106" s="18" t="inlineStr">
        <is>
          <t>Role Permission Enforcement</t>
        </is>
      </c>
      <c r="E106" s="18" t="inlineStr">
        <is>
          <t>Logged in as Staff</t>
        </is>
      </c>
      <c r="F106" s="18" t="inlineStr">
        <is>
          <t>1. Inspect sidebar.
2. Attempt to navigate directly to ?tab=users.</t>
        </is>
      </c>
      <c r="G106" s="18" t="inlineStr">
        <is>
          <t>URL: ?tab=users</t>
        </is>
      </c>
      <c r="H106" s="18" t="inlineStr">
        <is>
          <t>Access restricted. Users view is hidden from Staff and Client roles.</t>
        </is>
      </c>
      <c r="I106" s="19" t="inlineStr">
        <is>
          <t>PENDING</t>
        </is>
      </c>
      <c r="J106" s="18" t="inlineStr"/>
    </row>
    <row r="107" ht="45" customHeight="1">
      <c r="A107" s="20" t="inlineStr">
        <is>
          <t>TC-SETT-01</t>
        </is>
      </c>
      <c r="B107" s="20" t="inlineStr">
        <is>
          <t>MOD-17</t>
        </is>
      </c>
      <c r="C107" s="21" t="inlineStr">
        <is>
          <t>Settings, Company GSTIN &amp; Bank Details</t>
        </is>
      </c>
      <c r="D107" s="22" t="inlineStr">
        <is>
          <t>Master Gold Rate Setting</t>
        </is>
      </c>
      <c r="E107" s="22" t="inlineStr">
        <is>
          <t>Settings view open</t>
        </is>
      </c>
      <c r="F107" s="22" t="inlineStr">
        <is>
          <t>1. Update Market Gold Rate to ₹ 7,350.00/g.
2. Click Save.</t>
        </is>
      </c>
      <c r="G107" s="22" t="inlineStr">
        <is>
          <t>Rate: 7350.00</t>
        </is>
      </c>
      <c r="H107" s="22" t="inlineStr">
        <is>
          <t>Rate updates across all estimates and live header indicators.</t>
        </is>
      </c>
      <c r="I107" s="23" t="inlineStr">
        <is>
          <t>PENDING</t>
        </is>
      </c>
      <c r="J107" s="22" t="inlineStr"/>
    </row>
    <row r="108" ht="45" customHeight="1">
      <c r="A108" s="16" t="inlineStr">
        <is>
          <t>TC-SETT-02</t>
        </is>
      </c>
      <c r="B108" s="16" t="inlineStr">
        <is>
          <t>MOD-17</t>
        </is>
      </c>
      <c r="C108" s="17" t="inlineStr">
        <is>
          <t>Settings, Company GSTIN &amp; Bank Details</t>
        </is>
      </c>
      <c r="D108" s="18" t="inlineStr">
        <is>
          <t>Default GST Rate Setting</t>
        </is>
      </c>
      <c r="E108" s="18" t="inlineStr">
        <is>
          <t>Settings view open</t>
        </is>
      </c>
      <c r="F108" s="18" t="inlineStr">
        <is>
          <t>1. Inspect GST rate field.
2. Verify standard 3.0%.</t>
        </is>
      </c>
      <c r="G108" s="18" t="inlineStr">
        <is>
          <t>GST: 3.0%</t>
        </is>
      </c>
      <c r="H108" s="18" t="inlineStr">
        <is>
          <t>GST field correctly maintains 3.0% standard jewellery tax rate.</t>
        </is>
      </c>
      <c r="I108" s="19" t="inlineStr">
        <is>
          <t>PENDING</t>
        </is>
      </c>
      <c r="J108" s="18" t="inlineStr"/>
    </row>
    <row r="109" ht="45" customHeight="1">
      <c r="A109" s="20" t="inlineStr">
        <is>
          <t>TC-SETT-03</t>
        </is>
      </c>
      <c r="B109" s="20" t="inlineStr">
        <is>
          <t>MOD-17</t>
        </is>
      </c>
      <c r="C109" s="21" t="inlineStr">
        <is>
          <t>Settings, Company GSTIN &amp; Bank Details</t>
        </is>
      </c>
      <c r="D109" s="22" t="inlineStr">
        <is>
          <t>Update Company Profile &amp; GSTIN</t>
        </is>
      </c>
      <c r="E109" s="22" t="inlineStr">
        <is>
          <t>Settings view open</t>
        </is>
      </c>
      <c r="F109" s="22" t="inlineStr">
        <is>
          <t>1. Change Company Name or Company GSTIN.
2. Click Save.</t>
        </is>
      </c>
      <c r="G109" s="22" t="inlineStr">
        <is>
          <t>GSTIN: 27AAACR9910K1Z4</t>
        </is>
      </c>
      <c r="H109" s="22" t="inlineStr">
        <is>
          <t>Updates company details. New GSTIN displays on all estimate invoice headers immediately.</t>
        </is>
      </c>
      <c r="I109" s="23" t="inlineStr">
        <is>
          <t>PENDING</t>
        </is>
      </c>
      <c r="J109" s="22" t="inlineStr"/>
    </row>
    <row r="110" ht="45" customHeight="1">
      <c r="A110" s="16" t="inlineStr">
        <is>
          <t>TC-SETT-04</t>
        </is>
      </c>
      <c r="B110" s="16" t="inlineStr">
        <is>
          <t>MOD-17</t>
        </is>
      </c>
      <c r="C110" s="17" t="inlineStr">
        <is>
          <t>Settings, Company GSTIN &amp; Bank Details</t>
        </is>
      </c>
      <c r="D110" s="18" t="inlineStr">
        <is>
          <t>Update Official Bank Details</t>
        </is>
      </c>
      <c r="E110" s="18" t="inlineStr">
        <is>
          <t>Settings view open</t>
        </is>
      </c>
      <c r="F110" s="18" t="inlineStr">
        <is>
          <t>1. Update Bank Name, Account No, IFSC, Account Name.
2. Click Save.</t>
        </is>
      </c>
      <c r="G110" s="18" t="inlineStr">
        <is>
          <t>Account: 50200088992211
IFSC: HDFC0000123</t>
        </is>
      </c>
      <c r="H110" s="18" t="inlineStr">
        <is>
          <t>Bank details update in storage and render on all estimate print invoices.</t>
        </is>
      </c>
      <c r="I110" s="19" t="inlineStr">
        <is>
          <t>PENDING</t>
        </is>
      </c>
      <c r="J110" s="18" t="inlineStr"/>
    </row>
    <row r="111" ht="45" customHeight="1">
      <c r="A111" s="20" t="inlineStr">
        <is>
          <t>TC-SETT-05</t>
        </is>
      </c>
      <c r="B111" s="20" t="inlineStr">
        <is>
          <t>MOD-17</t>
        </is>
      </c>
      <c r="C111" s="21" t="inlineStr">
        <is>
          <t>Settings, Company GSTIN &amp; Bank Details</t>
        </is>
      </c>
      <c r="D111" s="22" t="inlineStr">
        <is>
          <t>Database Refresh &amp; Sync Status</t>
        </is>
      </c>
      <c r="E111" s="22" t="inlineStr">
        <is>
          <t>Settings view open</t>
        </is>
      </c>
      <c r="F111" s="22" t="inlineStr">
        <is>
          <t>1. Inspect Sync Status card.
2. Click "Refresh from Database".</t>
        </is>
      </c>
      <c r="G111" s="22" t="inlineStr">
        <is>
          <t>Live connection</t>
        </is>
      </c>
      <c r="H111" s="22" t="inlineStr">
        <is>
          <t>Triggers sync refresh from Supabase (or confirms local offline-first status cleanly).</t>
        </is>
      </c>
      <c r="I111" s="23" t="inlineStr">
        <is>
          <t>PENDING</t>
        </is>
      </c>
      <c r="J111" s="22" t="inlineStr"/>
    </row>
    <row r="112" ht="45" customHeight="1">
      <c r="A112" s="16" t="inlineStr">
        <is>
          <t>TC-SETT-06</t>
        </is>
      </c>
      <c r="B112" s="16" t="inlineStr">
        <is>
          <t>MOD-17</t>
        </is>
      </c>
      <c r="C112" s="17" t="inlineStr">
        <is>
          <t>Settings, Company GSTIN &amp; Bank Details</t>
        </is>
      </c>
      <c r="D112" s="18" t="inlineStr">
        <is>
          <t>User Password Change in Settings</t>
        </is>
      </c>
      <c r="E112" s="18" t="inlineStr">
        <is>
          <t>Settings view open</t>
        </is>
      </c>
      <c r="F112" s="18" t="inlineStr">
        <is>
          <t>1. Enter new password and confirm password in "Change Password" card.
2. Click "Update Password".</t>
        </is>
      </c>
      <c r="G112" s="18" t="inlineStr">
        <is>
          <t>New password</t>
        </is>
      </c>
      <c r="H112" s="18" t="inlineStr">
        <is>
          <t>Password updates with success alert banner; feedback disappears after 4 seconds.</t>
        </is>
      </c>
      <c r="I112" s="19" t="inlineStr">
        <is>
          <t>PENDING</t>
        </is>
      </c>
      <c r="J112" s="18" t="inlineStr"/>
    </row>
    <row r="113" ht="45" customHeight="1">
      <c r="A113" s="20" t="inlineStr">
        <is>
          <t>TC-EDGE-01</t>
        </is>
      </c>
      <c r="B113" s="20" t="inlineStr">
        <is>
          <t>MOD-18</t>
        </is>
      </c>
      <c r="C113" s="21" t="inlineStr">
        <is>
          <t>Edge Cases, Precision &amp; Boundary Conditions</t>
        </is>
      </c>
      <c r="D113" s="22" t="inlineStr">
        <is>
          <t>3-Decimal Gold Weight Rounding (Epsilon Test)</t>
        </is>
      </c>
      <c r="E113" s="22" t="inlineStr">
        <is>
          <t>Estimate line item</t>
        </is>
      </c>
      <c r="F113" s="22" t="inlineStr">
        <is>
          <t>1. Gross WT: 10.5555 g.
2. Inspect rounded weight in system.</t>
        </is>
      </c>
      <c r="G113" s="22" t="inlineStr">
        <is>
          <t>Input: 10.5555</t>
        </is>
      </c>
      <c r="H113" s="22" t="inlineStr">
        <is>
          <t>Rounded strictly to 10.556 g without floating-point drift.</t>
        </is>
      </c>
      <c r="I113" s="23" t="inlineStr">
        <is>
          <t>PENDING</t>
        </is>
      </c>
      <c r="J113" s="22" t="inlineStr"/>
    </row>
    <row r="114" ht="45" customHeight="1">
      <c r="A114" s="16" t="inlineStr">
        <is>
          <t>TC-EDGE-02</t>
        </is>
      </c>
      <c r="B114" s="16" t="inlineStr">
        <is>
          <t>MOD-18</t>
        </is>
      </c>
      <c r="C114" s="17" t="inlineStr">
        <is>
          <t>Edge Cases, Precision &amp; Boundary Conditions</t>
        </is>
      </c>
      <c r="D114" s="18" t="inlineStr">
        <is>
          <t>Stone Weight Equal to Gross Weight</t>
        </is>
      </c>
      <c r="E114" s="18" t="inlineStr">
        <is>
          <t>Estimate line item</t>
        </is>
      </c>
      <c r="F114" s="18" t="inlineStr">
        <is>
          <t>1. Gross WT: 5.000 g, Stone WT: 5.000 g.</t>
        </is>
      </c>
      <c r="G114" s="18" t="inlineStr">
        <is>
          <t>Gross: 5, Stone: 5</t>
        </is>
      </c>
      <c r="H114" s="18" t="inlineStr">
        <is>
          <t>Net WT = 0.000 g, Pure WT = 0.000 g. Amount calculates only on stone/MC value without crashing.</t>
        </is>
      </c>
      <c r="I114" s="19" t="inlineStr">
        <is>
          <t>PENDING</t>
        </is>
      </c>
      <c r="J114" s="18" t="inlineStr"/>
    </row>
    <row r="115" ht="45" customHeight="1">
      <c r="A115" s="20" t="inlineStr">
        <is>
          <t>TC-EDGE-03</t>
        </is>
      </c>
      <c r="B115" s="20" t="inlineStr">
        <is>
          <t>MOD-18</t>
        </is>
      </c>
      <c r="C115" s="21" t="inlineStr">
        <is>
          <t>Edge Cases, Precision &amp; Boundary Conditions</t>
        </is>
      </c>
      <c r="D115" s="22" t="inlineStr">
        <is>
          <t>Stone Weight Exceeding Gross Weight Protection</t>
        </is>
      </c>
      <c r="E115" s="22" t="inlineStr">
        <is>
          <t>Estimate line item</t>
        </is>
      </c>
      <c r="F115" s="22" t="inlineStr">
        <is>
          <t>1. Gross WT: 4.000 g, Stone WT: 6.000 g.</t>
        </is>
      </c>
      <c r="G115" s="22" t="inlineStr">
        <is>
          <t>Gross: 4, Stone: 6</t>
        </is>
      </c>
      <c r="H115" s="22" t="inlineStr">
        <is>
          <t>Net WT clamps cleanly to 0.000 g ($\max(0, \text{Gross} - \text{Stone})$). Never becomes negative.</t>
        </is>
      </c>
      <c r="I115" s="23" t="inlineStr">
        <is>
          <t>PENDING</t>
        </is>
      </c>
      <c r="J115" s="22" t="inlineStr"/>
    </row>
    <row r="116" ht="45" customHeight="1">
      <c r="A116" s="16" t="inlineStr">
        <is>
          <t>TC-EDGE-04</t>
        </is>
      </c>
      <c r="B116" s="16" t="inlineStr">
        <is>
          <t>MOD-18</t>
        </is>
      </c>
      <c r="C116" s="17" t="inlineStr">
        <is>
          <t>Edge Cases, Precision &amp; Boundary Conditions</t>
        </is>
      </c>
      <c r="D116" s="18" t="inlineStr">
        <is>
          <t>Zero Gold Rate Handling in Presets</t>
        </is>
      </c>
      <c r="E116" s="18" t="inlineStr">
        <is>
          <t>Estimate preset</t>
        </is>
      </c>
      <c r="F116" s="18" t="inlineStr">
        <is>
          <t>1. Create estimate with Gold Rate set to 0 or blank.
2. Select B2BWITHOUTMC.</t>
        </is>
      </c>
      <c r="G116" s="18" t="inlineStr">
        <is>
          <t>Gold Rate: 0</t>
        </is>
      </c>
      <c r="H116" s="18" t="inlineStr">
        <is>
          <t>System uses fallback rate of 1 to prevent division by zero (NaN / Infinity).</t>
        </is>
      </c>
      <c r="I116" s="19" t="inlineStr">
        <is>
          <t>PENDING</t>
        </is>
      </c>
      <c r="J116" s="18" t="inlineStr"/>
    </row>
    <row r="117" ht="45" customHeight="1">
      <c r="A117" s="20" t="inlineStr">
        <is>
          <t>TC-EDGE-05</t>
        </is>
      </c>
      <c r="B117" s="20" t="inlineStr">
        <is>
          <t>MOD-18</t>
        </is>
      </c>
      <c r="C117" s="21" t="inlineStr">
        <is>
          <t>Edge Cases, Precision &amp; Boundary Conditions</t>
        </is>
      </c>
      <c r="D117" s="22" t="inlineStr">
        <is>
          <t>Very High Value Transaction (Crore INR)</t>
        </is>
      </c>
      <c r="E117" s="22" t="inlineStr">
        <is>
          <t>Estimate cost sheet</t>
        </is>
      </c>
      <c r="F117" s="22" t="inlineStr">
        <is>
          <t>1. Create estimate with Grand Total &gt; ₹ 1,00,00,000 (1 Crore).
2. Check amount in words and balance formatting.</t>
        </is>
      </c>
      <c r="G117" s="22" t="inlineStr">
        <is>
          <t>Amount: ₹ 1,50,25,000.00</t>
        </is>
      </c>
      <c r="H117" s="22" t="inlineStr">
        <is>
          <t>Displays correctly formatted in Indian numbering system (₹ 1,50,25,000.00) and words.</t>
        </is>
      </c>
      <c r="I117" s="23" t="inlineStr">
        <is>
          <t>PENDING</t>
        </is>
      </c>
      <c r="J117" s="22" t="inlineStr"/>
    </row>
    <row r="118" ht="45" customHeight="1">
      <c r="A118" s="16" t="inlineStr">
        <is>
          <t>TC-EDGE-06</t>
        </is>
      </c>
      <c r="B118" s="16" t="inlineStr">
        <is>
          <t>MOD-18</t>
        </is>
      </c>
      <c r="C118" s="17" t="inlineStr">
        <is>
          <t>Edge Cases, Precision &amp; Boundary Conditions</t>
        </is>
      </c>
      <c r="D118" s="18" t="inlineStr">
        <is>
          <t>Negative Customer Balances Across Sequential Transactions</t>
        </is>
      </c>
      <c r="E118" s="18" t="inlineStr">
        <is>
          <t>Customer ledger</t>
        </is>
      </c>
      <c r="F118" s="18" t="inlineStr">
        <is>
          <t>1. Record customer advance payment of ₹ 5,00,000.
2. Record series of 3 smaller confirmed estimates.</t>
        </is>
      </c>
      <c r="G118" s="18" t="inlineStr">
        <is>
          <t>Advance: ₹ 5,00,000
Estimates: ₹ 1.5L, ₹ 2L, ₹ 1L</t>
        </is>
      </c>
      <c r="H118" s="18" t="inlineStr">
        <is>
          <t>Running balance tracks negative credit reducing down to -₹ 50,000.00 accurately.</t>
        </is>
      </c>
      <c r="I118" s="19" t="inlineStr">
        <is>
          <t>PENDING</t>
        </is>
      </c>
      <c r="J118" s="18" t="inlineStr"/>
    </row>
    <row r="119" ht="45" customHeight="1">
      <c r="A119" s="20" t="inlineStr">
        <is>
          <t>TC-EDGE-07</t>
        </is>
      </c>
      <c r="B119" s="20" t="inlineStr">
        <is>
          <t>MOD-18</t>
        </is>
      </c>
      <c r="C119" s="21" t="inlineStr">
        <is>
          <t>Edge Cases, Precision &amp; Boundary Conditions</t>
        </is>
      </c>
      <c r="D119" s="22" t="inlineStr">
        <is>
          <t>Special Characters in ERP References &amp; Remarks</t>
        </is>
      </c>
      <c r="E119" s="22" t="inlineStr">
        <is>
          <t>New transaction / Estimate</t>
        </is>
      </c>
      <c r="F119" s="22" t="inlineStr">
        <is>
          <t>1. Enter reference with slashes, dashes, and hashes (e.g. RD/BB#094/26-27 &amp; CO.).
2. Save and view in print.</t>
        </is>
      </c>
      <c r="G119" s="22" t="inlineStr">
        <is>
          <t>Reference: RD/BB#094/26-27 &amp; CO.</t>
        </is>
      </c>
      <c r="H119" s="22" t="inlineStr">
        <is>
          <t>String renders cleanly without escaping bugs or layout breaks in table or invoice.</t>
        </is>
      </c>
      <c r="I119" s="23" t="inlineStr">
        <is>
          <t>PENDING</t>
        </is>
      </c>
      <c r="J119" s="22" t="inlineStr"/>
    </row>
  </sheetData>
  <autoFilter ref="A1:J119"/>
  <conditionalFormatting sqref="I2:I1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</conditionalFormatting>
  <dataValidations count="1">
    <dataValidation sqref="I2:I119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2026-10-15T05:02:01Z</dcterms:created>
  <dcterms:modified xmlns:dcterms="http://purl.org/dc/terms/" xmlns:xsi="http://www.w3.org/2001/XMLSchema-instance" xsi:type="dcterms:W3CDTF">2026-10-15T05:02:01Z</dcterms:modified>
</cp:coreProperties>
</file>